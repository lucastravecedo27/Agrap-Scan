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300" tabRatio="348" firstSheet="0" activeTab="0" autoFilterDateGrouping="1"/>
  </bookViews>
  <sheets>
    <sheet name="RDT" sheetId="1" state="visible" r:id="rId1"/>
    <sheet name="Lista_Labores" sheetId="2" state="visible" r:id="rId2"/>
    <sheet name="lista_trabajadores" sheetId="3" state="visible" r:id="rId3"/>
    <sheet name="Fincas" sheetId="4" state="hidden" r:id="rId4"/>
    <sheet name="Archivo" sheetId="5" state="hidden" r:id="rId5"/>
  </sheets>
  <definedNames>
    <definedName name="Archivo">Archivo!$A$2:$B$6</definedName>
    <definedName name="fincas">Fincas!$A$3:$B$10</definedName>
    <definedName name="Lista">#REF!</definedName>
    <definedName name="lista_labores">Lista_Labores!$A$2:$D$1588</definedName>
    <definedName name="lista_trabaja">lista_trabajadores!$A$2:$D$261</definedName>
    <definedName name="usuarios">#REF!</definedName>
    <definedName name="_xlnm.Print_Titles" localSheetId="0">'RDT'!$1:$11</definedName>
    <definedName name="_xlnm.Print_Area" localSheetId="1">'Lista_Labores'!$A$1:$B$12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0000"/>
    <numFmt numFmtId="165" formatCode="_(&quot;$&quot;* #,##0.00_);_(&quot;$&quot;* \(#,##0.00\);_(&quot;$&quot;* &quot;-&quot;??_);_(@_)"/>
  </numFmts>
  <fonts count="34">
    <font>
      <name val="Arial"/>
      <sz val="10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i val="1"/>
      <sz val="8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  <font>
      <name val="Arial"/>
      <family val="2"/>
      <b val="1"/>
      <sz val="10"/>
    </font>
    <font>
      <name val="Arial"/>
      <family val="2"/>
      <color indexed="9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color indexed="9"/>
      <sz val="8"/>
    </font>
    <font>
      <name val="Arial"/>
      <family val="2"/>
      <sz val="8"/>
    </font>
    <font>
      <name val="Arial"/>
      <family val="2"/>
      <b val="1"/>
      <color indexed="8"/>
      <sz val="8"/>
    </font>
    <font>
      <name val="Arial"/>
      <family val="2"/>
      <b val="1"/>
      <color indexed="8"/>
      <sz val="10"/>
    </font>
    <font>
      <name val="Arial"/>
      <family val="2"/>
      <sz val="10"/>
    </font>
    <font>
      <name val="Arial"/>
      <family val="2"/>
      <sz val="10"/>
    </font>
    <font>
      <name val="Calibri"/>
      <family val="2"/>
      <sz val="10"/>
    </font>
    <font>
      <name val="Arial"/>
      <family val="2"/>
      <i val="1"/>
      <sz val="8"/>
    </font>
    <font>
      <name val="Arial"/>
      <family val="2"/>
      <b val="1"/>
      <sz val="6"/>
    </font>
    <font>
      <name val="Verdana"/>
      <family val="2"/>
      <b val="1"/>
      <sz val="7"/>
    </font>
    <font>
      <name val="Arial"/>
      <family val="2"/>
      <b val="1"/>
      <color rgb="FFFF0000"/>
      <sz val="8"/>
    </font>
    <font>
      <name val="Arial"/>
      <family val="2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color theme="10"/>
      <sz val="13.6"/>
      <u val="single"/>
    </font>
    <font>
      <name val="Calibri"/>
      <family val="2"/>
      <b val="1"/>
      <color rgb="FFFFC000"/>
      <sz val="11"/>
    </font>
    <font>
      <name val="Arial"/>
      <family val="2"/>
      <b val="1"/>
      <color rgb="FFFF0000"/>
      <sz val="7"/>
    </font>
    <font>
      <name val="Arial"/>
      <family val="2"/>
      <color rgb="FFFF0000"/>
      <sz val="10"/>
    </font>
    <font>
      <name val="Arial"/>
      <family val="2"/>
      <b val="1"/>
      <sz val="8"/>
    </font>
    <font>
      <name val="Arial"/>
      <family val="2"/>
      <b val="1"/>
      <color theme="0"/>
      <sz val="10"/>
    </font>
    <font>
      <name val="Arial"/>
      <family val="2"/>
      <b val="1"/>
      <color theme="0"/>
      <sz val="8"/>
    </font>
    <font>
      <name val="Calibri"/>
      <family val="2"/>
      <color indexed="17"/>
      <sz val="11"/>
    </font>
    <font>
      <name val="Arial"/>
      <family val="2"/>
      <sz val="11"/>
    </font>
    <font>
      <name val="Arial"/>
      <family val="2"/>
      <color theme="10"/>
      <sz val="11"/>
      <u val="single"/>
    </font>
  </fonts>
  <fills count="24">
    <fill>
      <patternFill/>
    </fill>
    <fill>
      <patternFill patternType="gray125"/>
    </fill>
    <fill>
      <patternFill patternType="solid">
        <f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-0.249977111117893"/>
        <bgColor indexed="64"/>
      </patternFill>
    </fill>
  </fills>
  <borders count="8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4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theme="4" tint="-0.499984740745262"/>
      </top>
      <bottom style="thin">
        <color indexed="64"/>
      </bottom>
      <diagonal/>
    </border>
    <border>
      <left/>
      <right/>
      <top style="thin">
        <color theme="4" tint="-0.499984740745262"/>
      </top>
      <bottom style="thin">
        <color indexed="64"/>
      </bottom>
      <diagonal/>
    </border>
    <border>
      <left/>
      <right style="thin">
        <color indexed="64"/>
      </right>
      <top style="thin">
        <color theme="4" tint="-0.499984740745262"/>
      </top>
      <bottom style="thin">
        <color indexed="64"/>
      </bottom>
      <diagonal/>
    </border>
    <border>
      <left style="thin">
        <color theme="4" tint="-0.499984740745262"/>
      </left>
      <right/>
      <top/>
      <bottom/>
      <diagonal/>
    </border>
    <border>
      <left/>
      <right style="thin">
        <color indexed="64"/>
      </right>
      <top style="hair">
        <color theme="4" tint="0.3999450666829432"/>
      </top>
      <bottom style="hair">
        <color theme="4" tint="0.3999450666829432"/>
      </bottom>
      <diagonal/>
    </border>
    <border>
      <left style="thin">
        <color indexed="64"/>
      </left>
      <right/>
      <top style="hair">
        <color theme="4" tint="0.3999450666829432"/>
      </top>
      <bottom style="hair">
        <color theme="4" tint="0.3999450666829432"/>
      </bottom>
      <diagonal/>
    </border>
    <border>
      <left/>
      <right/>
      <top style="hair">
        <color theme="4" tint="0.3999450666829432"/>
      </top>
      <bottom style="hair">
        <color theme="4" tint="0.3999450666829432"/>
      </bottom>
      <diagonal/>
    </border>
    <border>
      <left style="thin">
        <color indexed="64"/>
      </left>
      <right style="thin">
        <color indexed="64"/>
      </right>
      <top style="hair">
        <color theme="4" tint="0.3999450666829432"/>
      </top>
      <bottom style="hair">
        <color theme="4" tint="0.399945066682943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indexed="64"/>
      </bottom>
      <diagonal/>
    </border>
    <border>
      <left style="thin">
        <color theme="4" tint="-0.499984740745262"/>
      </left>
      <right/>
      <top style="hair">
        <color theme="4" tint="0.3999450666829432"/>
      </top>
      <bottom style="hair">
        <color theme="4" tint="0.3999450666829432"/>
      </bottom>
      <diagonal/>
    </border>
    <border>
      <left style="thin">
        <color theme="4" tint="-0.249946592608417"/>
      </left>
      <right style="thin">
        <color theme="4" tint="-0.249946592608417"/>
      </right>
      <top style="thin">
        <color theme="4" tint="-0.499984740745262"/>
      </top>
      <bottom style="thin">
        <color indexed="64"/>
      </bottom>
      <diagonal/>
    </border>
    <border>
      <left style="thin">
        <color theme="4" tint="-0.249946592608417"/>
      </left>
      <right style="thin">
        <color theme="4" tint="-0.249946592608417"/>
      </right>
      <top style="hair">
        <color theme="4" tint="0.3999450666829432"/>
      </top>
      <bottom style="hair">
        <color theme="4" tint="0.3999450666829432"/>
      </bottom>
      <diagonal/>
    </border>
    <border>
      <left style="thin">
        <color theme="4" tint="-0.249946592608417"/>
      </left>
      <right style="thin">
        <color theme="4" tint="-0.249946592608417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4" tint="-0.249946592608417"/>
      </left>
      <right/>
      <top style="hair">
        <color theme="4" tint="0.3999450666829432"/>
      </top>
      <bottom style="hair">
        <color theme="4" tint="0.3999450666829432"/>
      </bottom>
      <diagonal/>
    </border>
    <border>
      <left/>
      <right style="thin">
        <color theme="4" tint="-0.249946592608417"/>
      </right>
      <top style="hair">
        <color theme="4" tint="0.3999450666829432"/>
      </top>
      <bottom style="hair">
        <color theme="4" tint="0.399945066682943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hair">
        <color theme="4" tint="0.3999450666829432"/>
      </bottom>
      <diagonal/>
    </border>
    <border>
      <left style="thin">
        <color theme="4" tint="-0.249946592608417"/>
      </left>
      <right style="thin">
        <color theme="4" tint="-0.249946592608417"/>
      </right>
      <top style="thin">
        <color theme="4" tint="-0.499984740745262"/>
      </top>
      <bottom style="hair">
        <color theme="4" tint="0.3999450666829432"/>
      </bottom>
      <diagonal/>
    </border>
    <border>
      <left style="thin">
        <color theme="4" tint="-0.249946592608417"/>
      </left>
      <right/>
      <top style="thin">
        <color theme="4" tint="-0.499984740745262"/>
      </top>
      <bottom style="hair">
        <color theme="4" tint="0.3999450666829432"/>
      </bottom>
      <diagonal/>
    </border>
    <border>
      <left/>
      <right/>
      <top style="thin">
        <color theme="4" tint="-0.499984740745262"/>
      </top>
      <bottom style="hair">
        <color theme="4" tint="0.3999450666829432"/>
      </bottom>
      <diagonal/>
    </border>
    <border>
      <left/>
      <right style="thin">
        <color theme="4" tint="-0.249946592608417"/>
      </right>
      <top style="thin">
        <color theme="4" tint="-0.499984740745262"/>
      </top>
      <bottom style="hair">
        <color theme="4" tint="0.3999450666829432"/>
      </bottom>
      <diagonal/>
    </border>
    <border>
      <left/>
      <right style="thin">
        <color indexed="64"/>
      </right>
      <top style="thin">
        <color theme="4" tint="-0.499984740745262"/>
      </top>
      <bottom style="hair">
        <color theme="4" tint="0.3999450666829432"/>
      </bottom>
      <diagonal/>
    </border>
    <border>
      <left style="thin">
        <color indexed="64"/>
      </left>
      <right style="thin">
        <color indexed="64"/>
      </right>
      <top style="thin">
        <color theme="4" tint="-0.499984740745262"/>
      </top>
      <bottom style="hair">
        <color theme="4" tint="0.3999450666829432"/>
      </bottom>
      <diagonal/>
    </border>
    <border>
      <left style="thin">
        <color theme="3" tint="-0.499984740745262"/>
      </left>
      <right/>
      <top style="thin">
        <color theme="3" tint="-0.499984740745262"/>
      </top>
      <bottom style="thin">
        <color theme="3" tint="-0.499984740745262"/>
      </bottom>
      <diagonal/>
    </border>
    <border>
      <left/>
      <right/>
      <top style="thin">
        <color theme="3" tint="-0.499984740745262"/>
      </top>
      <bottom style="thin">
        <color theme="3" tint="-0.499984740745262"/>
      </bottom>
      <diagonal/>
    </border>
    <border>
      <left/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/>
      <top style="thin">
        <color theme="3" tint="-0.499984740745262"/>
      </top>
      <bottom style="hair">
        <color theme="3" tint="0.3999450666829432"/>
      </bottom>
      <diagonal/>
    </border>
    <border>
      <left/>
      <right/>
      <top style="thin">
        <color theme="3" tint="-0.499984740745262"/>
      </top>
      <bottom style="hair">
        <color theme="3" tint="0.3999450666829432"/>
      </bottom>
      <diagonal/>
    </border>
    <border>
      <left/>
      <right style="thin">
        <color theme="3" tint="-0.499984740745262"/>
      </right>
      <top style="thin">
        <color theme="3" tint="-0.499984740745262"/>
      </top>
      <bottom style="hair">
        <color theme="3" tint="0.3999450666829432"/>
      </bottom>
      <diagonal/>
    </border>
    <border>
      <left style="thin">
        <color theme="3" tint="-0.499984740745262"/>
      </left>
      <right/>
      <top style="hair">
        <color theme="3" tint="0.3999450666829432"/>
      </top>
      <bottom style="hair">
        <color theme="3" tint="0.3999450666829432"/>
      </bottom>
      <diagonal/>
    </border>
    <border>
      <left/>
      <right/>
      <top style="hair">
        <color theme="3" tint="0.3999450666829432"/>
      </top>
      <bottom style="hair">
        <color theme="3" tint="0.3999450666829432"/>
      </bottom>
      <diagonal/>
    </border>
    <border>
      <left/>
      <right style="thin">
        <color theme="3" tint="-0.499984740745262"/>
      </right>
      <top style="hair">
        <color theme="3" tint="0.3999450666829432"/>
      </top>
      <bottom style="hair">
        <color theme="3" tint="0.3999450666829432"/>
      </bottom>
      <diagonal/>
    </border>
    <border>
      <left style="thin">
        <color theme="3" tint="-0.499984740745262"/>
      </left>
      <right/>
      <top style="hair">
        <color theme="3" tint="0.3999450666829432"/>
      </top>
      <bottom style="thin">
        <color theme="3" tint="-0.499984740745262"/>
      </bottom>
      <diagonal/>
    </border>
    <border>
      <left/>
      <right/>
      <top style="hair">
        <color theme="3" tint="0.3999450666829432"/>
      </top>
      <bottom style="thin">
        <color theme="3" tint="-0.499984740745262"/>
      </bottom>
      <diagonal/>
    </border>
    <border>
      <left/>
      <right style="thin">
        <color theme="3" tint="-0.499984740745262"/>
      </right>
      <top style="hair">
        <color theme="3" tint="0.3999450666829432"/>
      </top>
      <bottom style="thin">
        <color theme="3" tint="-0.499984740745262"/>
      </bottom>
      <diagonal/>
    </border>
    <border>
      <left/>
      <right/>
      <top style="thin">
        <color theme="4" tint="-0.499984740745262"/>
      </top>
      <bottom/>
      <diagonal/>
    </border>
    <border>
      <left style="thin">
        <color theme="4" tint="-0.499984740745262"/>
      </left>
      <right/>
      <top style="hair">
        <color theme="4" tint="0.3999450666829432"/>
      </top>
      <bottom/>
      <diagonal/>
    </border>
    <border>
      <left style="thin">
        <color theme="4" tint="-0.249946592608417"/>
      </left>
      <right style="thin">
        <color theme="4" tint="-0.249946592608417"/>
      </right>
      <top style="hair">
        <color theme="4" tint="0.3999450666829432"/>
      </top>
      <bottom/>
      <diagonal/>
    </border>
    <border>
      <left style="thin">
        <color theme="4" tint="-0.249946592608417"/>
      </left>
      <right/>
      <top style="hair">
        <color theme="4" tint="0.3999450666829432"/>
      </top>
      <bottom/>
      <diagonal/>
    </border>
    <border>
      <left/>
      <right/>
      <top style="hair">
        <color theme="4" tint="0.3999450666829432"/>
      </top>
      <bottom/>
      <diagonal/>
    </border>
    <border>
      <left/>
      <right style="thin">
        <color theme="4" tint="-0.249946592608417"/>
      </right>
      <top style="hair">
        <color theme="4" tint="0.3999450666829432"/>
      </top>
      <bottom/>
      <diagonal/>
    </border>
    <border>
      <left/>
      <right style="thin">
        <color indexed="64"/>
      </right>
      <top style="hair">
        <color theme="4" tint="0.3999450666829432"/>
      </top>
      <bottom/>
      <diagonal/>
    </border>
    <border>
      <left style="thin">
        <color indexed="64"/>
      </left>
      <right style="thin">
        <color indexed="64"/>
      </right>
      <top style="hair">
        <color theme="4" tint="0.399945066682943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hair">
        <color theme="4" tint="0.3999450666829432"/>
      </bottom>
      <diagonal/>
    </border>
    <border>
      <left style="thin">
        <color theme="4" tint="-0.499984740745262"/>
      </left>
      <right style="thin">
        <color theme="4" tint="-0.499984740745262"/>
      </right>
      <top style="hair">
        <color theme="4" tint="0.3999450666829432"/>
      </top>
      <bottom style="hair">
        <color theme="4" tint="0.3999450666829432"/>
      </bottom>
      <diagonal/>
    </border>
    <border>
      <left style="thin">
        <color theme="4" tint="-0.499984740745262"/>
      </left>
      <right style="thin">
        <color theme="4" tint="-0.499984740745262"/>
      </right>
      <top style="hair">
        <color theme="4" tint="0.3999450666829432"/>
      </top>
      <bottom style="thin">
        <color theme="4" tint="-0.4999847407452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4" tint="-0.249946592608417"/>
      </right>
      <top style="thin">
        <color theme="4" tint="-0.499984740745262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43" fontId="21" fillId="0" borderId="0"/>
    <xf numFmtId="165" fontId="21" fillId="0" borderId="0"/>
    <xf numFmtId="0" fontId="24" fillId="0" borderId="0" applyAlignment="1" applyProtection="1">
      <alignment vertical="top"/>
      <protection locked="0" hidden="0"/>
    </xf>
    <xf numFmtId="0" fontId="21" fillId="0" borderId="0"/>
  </cellStyleXfs>
  <cellXfs count="207">
    <xf numFmtId="0" fontId="0" fillId="0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4" fillId="0" borderId="0" applyAlignment="1" pivotButton="0" quotePrefix="0" xfId="0">
      <alignment wrapText="1"/>
    </xf>
    <xf numFmtId="0" fontId="24" fillId="0" borderId="0" pivotButton="0" quotePrefix="0" xfId="3"/>
    <xf numFmtId="1" fontId="8" fillId="0" borderId="18" pivotButton="0" quotePrefix="0" xfId="0"/>
    <xf numFmtId="1" fontId="8" fillId="0" borderId="19" pivotButton="0" quotePrefix="0" xfId="0"/>
    <xf numFmtId="1" fontId="8" fillId="0" borderId="20" pivotButton="0" quotePrefix="0" xfId="0"/>
    <xf numFmtId="0" fontId="1" fillId="0" borderId="0" applyAlignment="1" pivotButton="0" quotePrefix="0" xfId="0">
      <alignment wrapText="1"/>
    </xf>
    <xf numFmtId="0" fontId="27" fillId="0" borderId="0" applyAlignment="1" pivotButton="0" quotePrefix="0" xfId="0">
      <alignment wrapText="1"/>
    </xf>
    <xf numFmtId="1" fontId="28" fillId="0" borderId="19" pivotButton="0" quotePrefix="0" xfId="0"/>
    <xf numFmtId="0" fontId="1" fillId="0" borderId="0" pivotButton="0" quotePrefix="0" xfId="0"/>
    <xf numFmtId="0" fontId="29" fillId="14" borderId="0" applyAlignment="1" pivotButton="0" quotePrefix="0" xfId="0">
      <alignment horizontal="center" vertical="center"/>
    </xf>
    <xf numFmtId="0" fontId="9" fillId="0" borderId="0" applyAlignment="1" pivotButton="0" quotePrefix="1" xfId="0">
      <alignment wrapText="1"/>
    </xf>
    <xf numFmtId="1" fontId="8" fillId="0" borderId="24" pivotButton="0" quotePrefix="0" xfId="0"/>
    <xf numFmtId="1" fontId="31" fillId="2" borderId="0" applyAlignment="1" pivotButton="0" quotePrefix="0" xfId="0">
      <alignment vertical="center"/>
    </xf>
    <xf numFmtId="0" fontId="31" fillId="2" borderId="0" applyAlignment="1" pivotButton="0" quotePrefix="0" xfId="0">
      <alignment vertical="center"/>
    </xf>
    <xf numFmtId="43" fontId="31" fillId="2" borderId="0" applyAlignment="1" pivotButton="0" quotePrefix="0" xfId="1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0" applyAlignment="1" pivotButton="0" quotePrefix="0" xfId="3">
      <alignment vertical="center"/>
    </xf>
    <xf numFmtId="1" fontId="32" fillId="0" borderId="0" applyAlignment="1" pivotButton="0" quotePrefix="0" xfId="0">
      <alignment vertical="center"/>
    </xf>
    <xf numFmtId="43" fontId="32" fillId="0" borderId="0" applyAlignment="1" pivotButton="0" quotePrefix="0" xfId="1">
      <alignment vertical="center"/>
    </xf>
    <xf numFmtId="0" fontId="8" fillId="0" borderId="0" applyAlignment="1" applyProtection="1" pivotButton="0" quotePrefix="0" xfId="0">
      <alignment vertical="center"/>
      <protection locked="1" hidden="1"/>
    </xf>
    <xf numFmtId="0" fontId="23" fillId="9" borderId="1" applyAlignment="1" applyProtection="1" pivotButton="0" quotePrefix="0" xfId="0">
      <alignment vertical="center"/>
      <protection locked="0" hidden="0"/>
    </xf>
    <xf numFmtId="0" fontId="1" fillId="0" borderId="0" pivotButton="0" quotePrefix="0" xfId="4"/>
    <xf numFmtId="0" fontId="9" fillId="0" borderId="31" applyAlignment="1" applyProtection="1" pivotButton="0" quotePrefix="0" xfId="0">
      <alignment horizontal="left" vertical="center"/>
      <protection locked="0" hidden="0"/>
    </xf>
    <xf numFmtId="0" fontId="9" fillId="13" borderId="31" applyAlignment="1" applyProtection="1" pivotButton="0" quotePrefix="0" xfId="0">
      <alignment horizontal="left" vertical="center"/>
      <protection locked="0" hidden="0"/>
    </xf>
    <xf numFmtId="0" fontId="9" fillId="0" borderId="50" applyAlignment="1" applyProtection="1" pivotButton="0" quotePrefix="0" xfId="0">
      <alignment horizontal="left" vertical="center"/>
      <protection locked="0" hidden="0"/>
    </xf>
    <xf numFmtId="0" fontId="9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right" vertical="center"/>
    </xf>
    <xf numFmtId="43" fontId="7" fillId="7" borderId="1" applyAlignment="1" pivotButton="0" quotePrefix="0" xfId="1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6" borderId="3" applyAlignment="1" pivotButton="0" quotePrefix="0" xfId="0">
      <alignment vertical="center" wrapText="1"/>
    </xf>
    <xf numFmtId="0" fontId="1" fillId="12" borderId="1" applyAlignment="1" pivotButton="0" quotePrefix="0" xfId="0">
      <alignment horizontal="right" vertical="center"/>
    </xf>
    <xf numFmtId="164" fontId="7" fillId="7" borderId="1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 vertical="center"/>
    </xf>
    <xf numFmtId="164" fontId="20" fillId="7" borderId="1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center" vertical="center"/>
    </xf>
    <xf numFmtId="0" fontId="29" fillId="14" borderId="22" applyAlignment="1" pivotButton="0" quotePrefix="0" xfId="0">
      <alignment horizontal="center" vertical="center"/>
    </xf>
    <xf numFmtId="0" fontId="29" fillId="14" borderId="21" applyAlignment="1" pivotButton="0" quotePrefix="0" xfId="0">
      <alignment horizontal="center" vertical="center"/>
    </xf>
    <xf numFmtId="0" fontId="29" fillId="14" borderId="21" applyAlignment="1" pivotButton="0" quotePrefix="0" xfId="0">
      <alignment vertical="center"/>
    </xf>
    <xf numFmtId="0" fontId="0" fillId="5" borderId="21" applyAlignment="1" pivotButton="0" quotePrefix="0" xfId="0">
      <alignment vertical="center"/>
    </xf>
    <xf numFmtId="0" fontId="13" fillId="6" borderId="22" applyAlignment="1" pivotButton="0" quotePrefix="0" xfId="0">
      <alignment horizontal="center" vertical="center"/>
    </xf>
    <xf numFmtId="0" fontId="0" fillId="4" borderId="21" applyAlignment="1" pivotButton="0" quotePrefix="0" xfId="0">
      <alignment vertical="center"/>
    </xf>
    <xf numFmtId="0" fontId="0" fillId="0" borderId="30" applyAlignment="1" pivotButton="0" quotePrefix="0" xfId="0">
      <alignment vertical="center"/>
    </xf>
    <xf numFmtId="0" fontId="30" fillId="14" borderId="35" applyAlignment="1" pivotButton="0" quotePrefix="0" xfId="0">
      <alignment horizontal="center" vertical="center" wrapText="1"/>
    </xf>
    <xf numFmtId="0" fontId="30" fillId="14" borderId="37" applyAlignment="1" pivotButton="0" quotePrefix="0" xfId="0">
      <alignment horizontal="center" vertical="center" wrapText="1"/>
    </xf>
    <xf numFmtId="0" fontId="30" fillId="14" borderId="29" applyAlignment="1" pivotButton="0" quotePrefix="0" xfId="0">
      <alignment horizontal="center" vertical="center" wrapText="1"/>
    </xf>
    <xf numFmtId="0" fontId="30" fillId="14" borderId="26" applyAlignment="1" pivotButton="0" quotePrefix="0" xfId="0">
      <alignment horizontal="center" vertical="center" wrapText="1"/>
    </xf>
    <xf numFmtId="0" fontId="10" fillId="4" borderId="26" applyAlignment="1" pivotButton="0" quotePrefix="0" xfId="0">
      <alignment vertical="center" wrapText="1"/>
    </xf>
    <xf numFmtId="0" fontId="12" fillId="6" borderId="26" applyAlignment="1" pivotButton="0" quotePrefix="0" xfId="0">
      <alignment horizontal="center" vertical="center" wrapText="1"/>
    </xf>
    <xf numFmtId="0" fontId="10" fillId="5" borderId="26" applyAlignment="1" pivotButton="0" quotePrefix="0" xfId="0">
      <alignment vertical="center" wrapText="1"/>
    </xf>
    <xf numFmtId="0" fontId="10" fillId="4" borderId="27" applyAlignment="1" pivotButton="0" quotePrefix="0" xfId="0">
      <alignment vertical="center" wrapText="1"/>
    </xf>
    <xf numFmtId="0" fontId="26" fillId="0" borderId="30" applyAlignment="1" pivotButton="0" quotePrefix="0" xfId="0">
      <alignment vertical="center"/>
    </xf>
    <xf numFmtId="0" fontId="30" fillId="14" borderId="2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/>
    </xf>
    <xf numFmtId="0" fontId="30" fillId="18" borderId="30" applyAlignment="1" pivotButton="0" quotePrefix="0" xfId="0">
      <alignment horizontal="center" vertical="center" wrapText="1"/>
    </xf>
    <xf numFmtId="0" fontId="30" fillId="18" borderId="39" applyAlignment="1" pivotButton="0" quotePrefix="0" xfId="0">
      <alignment horizontal="center" vertical="center" wrapText="1"/>
    </xf>
    <xf numFmtId="0" fontId="30" fillId="18" borderId="0" applyAlignment="1" pivotButton="0" quotePrefix="0" xfId="0">
      <alignment horizontal="center" vertical="center" wrapText="1"/>
    </xf>
    <xf numFmtId="0" fontId="30" fillId="18" borderId="25" applyAlignment="1" pivotButton="0" quotePrefix="0" xfId="0">
      <alignment horizontal="center" vertical="center" wrapText="1"/>
    </xf>
    <xf numFmtId="0" fontId="30" fillId="18" borderId="40" applyAlignment="1" pivotButton="0" quotePrefix="0" xfId="0">
      <alignment horizontal="center" vertical="center" wrapText="1"/>
    </xf>
    <xf numFmtId="0" fontId="10" fillId="4" borderId="41" applyAlignment="1" pivotButton="0" quotePrefix="0" xfId="0">
      <alignment vertical="center" wrapText="1"/>
    </xf>
    <xf numFmtId="0" fontId="12" fillId="6" borderId="41" applyAlignment="1" pivotButton="0" quotePrefix="0" xfId="0">
      <alignment horizontal="center" vertical="center" wrapText="1"/>
    </xf>
    <xf numFmtId="0" fontId="10" fillId="5" borderId="41" applyAlignment="1" pivotButton="0" quotePrefix="0" xfId="0">
      <alignment vertical="center" wrapText="1"/>
    </xf>
    <xf numFmtId="0" fontId="10" fillId="4" borderId="42" applyAlignment="1" pivotButton="0" quotePrefix="0" xfId="0">
      <alignment vertical="center" wrapText="1"/>
    </xf>
    <xf numFmtId="0" fontId="30" fillId="18" borderId="2" applyAlignment="1" pivotButton="0" quotePrefix="0" xfId="0">
      <alignment horizontal="center" vertical="center" wrapText="1"/>
    </xf>
    <xf numFmtId="0" fontId="0" fillId="0" borderId="45" applyAlignment="1" pivotButton="0" quotePrefix="0" xfId="0">
      <alignment horizontal="center" vertical="center"/>
    </xf>
    <xf numFmtId="0" fontId="16" fillId="13" borderId="46" applyAlignment="1" pivotButton="0" quotePrefix="0" xfId="0">
      <alignment horizontal="center" vertical="center" wrapText="1"/>
    </xf>
    <xf numFmtId="0" fontId="0" fillId="13" borderId="46" applyAlignment="1" pivotButton="0" quotePrefix="0" xfId="0">
      <alignment vertical="center"/>
    </xf>
    <xf numFmtId="0" fontId="20" fillId="13" borderId="46" applyAlignment="1" pivotButton="0" quotePrefix="0" xfId="0">
      <alignment horizontal="center" vertical="center"/>
    </xf>
    <xf numFmtId="0" fontId="8" fillId="15" borderId="51" applyAlignment="1" pivotButton="0" quotePrefix="0" xfId="0">
      <alignment horizontal="center" vertical="center"/>
    </xf>
    <xf numFmtId="0" fontId="0" fillId="0" borderId="5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165" fontId="9" fillId="13" borderId="21" applyAlignment="1" pivotButton="0" quotePrefix="0" xfId="2">
      <alignment vertical="center"/>
    </xf>
    <xf numFmtId="0" fontId="0" fillId="0" borderId="36" applyAlignment="1" pivotButton="0" quotePrefix="0" xfId="0">
      <alignment horizontal="center" vertical="center"/>
    </xf>
    <xf numFmtId="0" fontId="16" fillId="13" borderId="38" applyAlignment="1" pivotButton="0" quotePrefix="0" xfId="0">
      <alignment horizontal="center" vertical="center" wrapText="1"/>
    </xf>
    <xf numFmtId="0" fontId="0" fillId="13" borderId="38" applyAlignment="1" pivotButton="0" quotePrefix="0" xfId="0">
      <alignment vertical="center"/>
    </xf>
    <xf numFmtId="0" fontId="20" fillId="13" borderId="38" applyAlignment="1" pivotButton="0" quotePrefix="0" xfId="0">
      <alignment horizontal="center" vertical="center"/>
    </xf>
    <xf numFmtId="0" fontId="8" fillId="15" borderId="34" applyAlignment="1" pivotButton="0" quotePrefix="0" xfId="0">
      <alignment horizontal="center" vertical="center"/>
    </xf>
    <xf numFmtId="0" fontId="0" fillId="0" borderId="34" applyAlignment="1" pivotButton="0" quotePrefix="0" xfId="0">
      <alignment vertical="center"/>
    </xf>
    <xf numFmtId="0" fontId="9" fillId="13" borderId="46" applyAlignment="1" applyProtection="1" pivotButton="0" quotePrefix="0" xfId="0">
      <alignment horizontal="center" vertical="center"/>
      <protection locked="0" hidden="0"/>
    </xf>
    <xf numFmtId="0" fontId="9" fillId="13" borderId="38" applyAlignment="1" applyProtection="1" pivotButton="0" quotePrefix="0" xfId="0">
      <alignment horizontal="center" vertical="center"/>
      <protection locked="0" hidden="0"/>
    </xf>
    <xf numFmtId="0" fontId="9" fillId="16" borderId="51" applyAlignment="1" applyProtection="1" pivotButton="0" quotePrefix="0" xfId="0">
      <alignment horizontal="center" vertical="center"/>
      <protection locked="0" hidden="0"/>
    </xf>
    <xf numFmtId="0" fontId="9" fillId="17" borderId="51" applyAlignment="1" applyProtection="1" pivotButton="0" quotePrefix="0" xfId="0">
      <alignment horizontal="center" vertical="center"/>
      <protection locked="0" hidden="0"/>
    </xf>
    <xf numFmtId="0" fontId="9" fillId="0" borderId="51" applyAlignment="1" applyProtection="1" pivotButton="0" quotePrefix="0" xfId="0">
      <alignment horizontal="center" vertical="center"/>
      <protection locked="0" hidden="0"/>
    </xf>
    <xf numFmtId="0" fontId="9" fillId="16" borderId="34" applyAlignment="1" applyProtection="1" pivotButton="0" quotePrefix="0" xfId="0">
      <alignment horizontal="center" vertical="center"/>
      <protection locked="0" hidden="0"/>
    </xf>
    <xf numFmtId="0" fontId="9" fillId="17" borderId="34" applyAlignment="1" applyProtection="1" pivotButton="0" quotePrefix="0" xfId="0">
      <alignment horizontal="center" vertical="center"/>
      <protection locked="0" hidden="0"/>
    </xf>
    <xf numFmtId="0" fontId="9" fillId="0" borderId="34" applyAlignment="1" applyProtection="1" pivotButton="0" quotePrefix="0" xfId="0">
      <alignment horizontal="center" vertical="center"/>
      <protection locked="0" hidden="0"/>
    </xf>
    <xf numFmtId="165" fontId="9" fillId="13" borderId="0" applyAlignment="1" pivotButton="0" quotePrefix="0" xfId="2">
      <alignment vertical="center"/>
    </xf>
    <xf numFmtId="0" fontId="30" fillId="0" borderId="0" applyAlignment="1" pivotButton="0" quotePrefix="0" xfId="0">
      <alignment horizontal="center" vertical="center" wrapText="1"/>
    </xf>
    <xf numFmtId="0" fontId="29" fillId="19" borderId="52" applyAlignment="1" pivotButton="0" quotePrefix="0" xfId="0">
      <alignment vertical="center"/>
    </xf>
    <xf numFmtId="0" fontId="29" fillId="19" borderId="53" applyAlignment="1" pivotButton="0" quotePrefix="0" xfId="0">
      <alignment horizontal="center" vertical="center"/>
    </xf>
    <xf numFmtId="0" fontId="29" fillId="19" borderId="54" applyAlignment="1" pivotButton="0" quotePrefix="0" xfId="0">
      <alignment horizontal="center" vertical="center"/>
    </xf>
    <xf numFmtId="0" fontId="9" fillId="20" borderId="55" applyAlignment="1" pivotButton="0" quotePrefix="0" xfId="0">
      <alignment vertical="center"/>
    </xf>
    <xf numFmtId="0" fontId="0" fillId="21" borderId="56" applyAlignment="1" pivotButton="0" quotePrefix="0" xfId="0">
      <alignment horizontal="center" vertical="center"/>
    </xf>
    <xf numFmtId="0" fontId="0" fillId="22" borderId="57" applyAlignment="1" pivotButton="0" quotePrefix="0" xfId="0">
      <alignment horizontal="center" vertical="center"/>
    </xf>
    <xf numFmtId="0" fontId="9" fillId="20" borderId="58" applyAlignment="1" pivotButton="0" quotePrefix="0" xfId="0">
      <alignment vertical="center"/>
    </xf>
    <xf numFmtId="0" fontId="0" fillId="21" borderId="59" applyAlignment="1" pivotButton="0" quotePrefix="0" xfId="0">
      <alignment horizontal="center" vertical="center"/>
    </xf>
    <xf numFmtId="0" fontId="0" fillId="22" borderId="60" applyAlignment="1" pivotButton="0" quotePrefix="0" xfId="0">
      <alignment horizontal="center" vertical="center"/>
    </xf>
    <xf numFmtId="0" fontId="9" fillId="20" borderId="61" applyAlignment="1" pivotButton="0" quotePrefix="0" xfId="0">
      <alignment vertical="center"/>
    </xf>
    <xf numFmtId="0" fontId="0" fillId="21" borderId="62" applyAlignment="1" pivotButton="0" quotePrefix="0" xfId="0">
      <alignment horizontal="center" vertical="center"/>
    </xf>
    <xf numFmtId="0" fontId="0" fillId="22" borderId="63" applyAlignment="1" pivotButton="0" quotePrefix="0" xfId="0">
      <alignment horizontal="center" vertical="center"/>
    </xf>
    <xf numFmtId="0" fontId="0" fillId="0" borderId="65" applyAlignment="1" pivotButton="0" quotePrefix="0" xfId="0">
      <alignment horizontal="center" vertical="center"/>
    </xf>
    <xf numFmtId="0" fontId="16" fillId="13" borderId="66" applyAlignment="1" pivotButton="0" quotePrefix="0" xfId="0">
      <alignment horizontal="center" vertical="center" wrapText="1"/>
    </xf>
    <xf numFmtId="0" fontId="0" fillId="13" borderId="66" applyAlignment="1" pivotButton="0" quotePrefix="0" xfId="0">
      <alignment vertical="center"/>
    </xf>
    <xf numFmtId="0" fontId="9" fillId="13" borderId="66" applyAlignment="1" applyProtection="1" pivotButton="0" quotePrefix="0" xfId="0">
      <alignment horizontal="center" vertical="center"/>
      <protection locked="0" hidden="0"/>
    </xf>
    <xf numFmtId="0" fontId="20" fillId="13" borderId="66" applyAlignment="1" pivotButton="0" quotePrefix="0" xfId="0">
      <alignment horizontal="center" vertical="center"/>
    </xf>
    <xf numFmtId="0" fontId="9" fillId="0" borderId="70" applyAlignment="1" applyProtection="1" pivotButton="0" quotePrefix="0" xfId="0">
      <alignment horizontal="left" vertical="center"/>
      <protection locked="0" hidden="0"/>
    </xf>
    <xf numFmtId="0" fontId="8" fillId="15" borderId="71" applyAlignment="1" pivotButton="0" quotePrefix="0" xfId="0">
      <alignment horizontal="center" vertical="center"/>
    </xf>
    <xf numFmtId="0" fontId="0" fillId="0" borderId="71" applyAlignment="1" pivotButton="0" quotePrefix="0" xfId="0">
      <alignment vertical="center"/>
    </xf>
    <xf numFmtId="0" fontId="9" fillId="16" borderId="71" applyAlignment="1" applyProtection="1" pivotButton="0" quotePrefix="0" xfId="0">
      <alignment horizontal="center" vertical="center"/>
      <protection locked="0" hidden="0"/>
    </xf>
    <xf numFmtId="0" fontId="9" fillId="17" borderId="71" applyAlignment="1" applyProtection="1" pivotButton="0" quotePrefix="0" xfId="0">
      <alignment horizontal="center" vertical="center"/>
      <protection locked="0" hidden="0"/>
    </xf>
    <xf numFmtId="0" fontId="9" fillId="0" borderId="71" applyAlignment="1" applyProtection="1" pivotButton="0" quotePrefix="0" xfId="0">
      <alignment horizontal="center" vertical="center"/>
      <protection locked="0" hidden="0"/>
    </xf>
    <xf numFmtId="0" fontId="0" fillId="0" borderId="64" applyAlignment="1" pivotButton="0" quotePrefix="0" xfId="0">
      <alignment horizontal="center" vertical="center"/>
    </xf>
    <xf numFmtId="0" fontId="0" fillId="0" borderId="64" applyAlignment="1" pivotButton="0" quotePrefix="0" xfId="0">
      <alignment vertical="center"/>
    </xf>
    <xf numFmtId="0" fontId="15" fillId="0" borderId="64" applyAlignment="1" pivotButton="0" quotePrefix="0" xfId="0">
      <alignment vertical="center"/>
    </xf>
    <xf numFmtId="0" fontId="29" fillId="18" borderId="73" applyAlignment="1" pivotButton="0" quotePrefix="0" xfId="0">
      <alignment vertical="center"/>
    </xf>
    <xf numFmtId="0" fontId="29" fillId="14" borderId="72" applyAlignment="1" pivotButton="0" quotePrefix="0" xfId="0">
      <alignment horizontal="center" vertical="center"/>
    </xf>
    <xf numFmtId="0" fontId="0" fillId="0" borderId="74" applyAlignment="1" applyProtection="1" pivotButton="0" quotePrefix="0" xfId="0">
      <alignment vertical="center"/>
      <protection locked="0" hidden="0"/>
    </xf>
    <xf numFmtId="0" fontId="0" fillId="0" borderId="75" applyAlignment="1" applyProtection="1" pivotButton="0" quotePrefix="0" xfId="0">
      <alignment vertical="center"/>
      <protection locked="0" hidden="0"/>
    </xf>
    <xf numFmtId="0" fontId="0" fillId="0" borderId="76" applyAlignment="1" applyProtection="1" pivotButton="0" quotePrefix="0" xfId="0">
      <alignment vertical="center"/>
      <protection locked="0" hidden="0"/>
    </xf>
    <xf numFmtId="0" fontId="1" fillId="0" borderId="75" applyAlignment="1" applyProtection="1" pivotButton="0" quotePrefix="0" xfId="0">
      <alignment vertical="center"/>
      <protection locked="0" hidden="0"/>
    </xf>
    <xf numFmtId="0" fontId="29" fillId="23" borderId="54" applyAlignment="1" applyProtection="1" pivotButton="0" quotePrefix="0" xfId="0">
      <alignment horizontal="center" vertical="center"/>
      <protection locked="0" hidden="0"/>
    </xf>
    <xf numFmtId="0" fontId="9" fillId="13" borderId="43" applyAlignment="1" applyProtection="1" pivotButton="0" quotePrefix="0" xfId="0">
      <alignment horizontal="left" vertical="center"/>
      <protection locked="0" hidden="1"/>
    </xf>
    <xf numFmtId="0" fontId="9" fillId="13" borderId="33" applyAlignment="1" applyProtection="1" pivotButton="0" quotePrefix="0" xfId="0">
      <alignment horizontal="left" vertical="center"/>
      <protection locked="0" hidden="1"/>
    </xf>
    <xf numFmtId="0" fontId="9" fillId="13" borderId="44" applyAlignment="1" applyProtection="1" pivotButton="0" quotePrefix="0" xfId="0">
      <alignment horizontal="left" vertical="center"/>
      <protection locked="0" hidden="1"/>
    </xf>
    <xf numFmtId="0" fontId="9" fillId="13" borderId="67" applyAlignment="1" applyProtection="1" pivotButton="0" quotePrefix="0" xfId="0">
      <alignment horizontal="left" vertical="center"/>
      <protection locked="0" hidden="1"/>
    </xf>
    <xf numFmtId="0" fontId="9" fillId="13" borderId="68" applyAlignment="1" applyProtection="1" pivotButton="0" quotePrefix="0" xfId="0">
      <alignment horizontal="left" vertical="center"/>
      <protection locked="0" hidden="1"/>
    </xf>
    <xf numFmtId="0" fontId="9" fillId="13" borderId="69" applyAlignment="1" applyProtection="1" pivotButton="0" quotePrefix="0" xfId="0">
      <alignment horizontal="left" vertical="center"/>
      <protection locked="0" hidden="1"/>
    </xf>
    <xf numFmtId="0" fontId="9" fillId="13" borderId="31" applyAlignment="1" applyProtection="1" pivotButton="0" quotePrefix="0" xfId="0">
      <alignment horizontal="left" vertical="center"/>
      <protection locked="0" hidden="1"/>
    </xf>
    <xf numFmtId="0" fontId="9" fillId="13" borderId="34" applyAlignment="1" applyProtection="1" pivotButton="0" quotePrefix="0" xfId="0">
      <alignment horizontal="left" vertical="center"/>
      <protection locked="0" hidden="1"/>
    </xf>
    <xf numFmtId="0" fontId="9" fillId="13" borderId="32" applyAlignment="1" applyProtection="1" pivotButton="0" quotePrefix="0" xfId="0">
      <alignment horizontal="left" vertical="center"/>
      <protection locked="0" hidden="1"/>
    </xf>
    <xf numFmtId="0" fontId="19" fillId="11" borderId="15" applyAlignment="1" applyProtection="1" pivotButton="0" quotePrefix="0" xfId="0">
      <alignment horizontal="left" vertical="center"/>
      <protection locked="1" hidden="1"/>
    </xf>
    <xf numFmtId="0" fontId="19" fillId="11" borderId="16" applyAlignment="1" applyProtection="1" pivotButton="0" quotePrefix="0" xfId="0">
      <alignment horizontal="left" vertical="center"/>
      <protection locked="1" hidden="1"/>
    </xf>
    <xf numFmtId="0" fontId="19" fillId="11" borderId="17" applyAlignment="1" applyProtection="1" pivotButton="0" quotePrefix="0" xfId="0">
      <alignment horizontal="left" vertical="center"/>
      <protection locked="1" hidden="1"/>
    </xf>
    <xf numFmtId="0" fontId="29" fillId="14" borderId="23" applyAlignment="1" pivotButton="0" quotePrefix="0" xfId="0">
      <alignment horizontal="center" vertical="center"/>
    </xf>
    <xf numFmtId="0" fontId="29" fillId="14" borderId="22" applyAlignment="1" pivotButton="0" quotePrefix="0" xfId="0">
      <alignment horizontal="center" vertical="center"/>
    </xf>
    <xf numFmtId="0" fontId="19" fillId="12" borderId="15" applyAlignment="1" applyProtection="1" pivotButton="0" quotePrefix="0" xfId="0">
      <alignment horizontal="left" vertical="center"/>
      <protection locked="1" hidden="1"/>
    </xf>
    <xf numFmtId="0" fontId="19" fillId="12" borderId="16" applyAlignment="1" applyProtection="1" pivotButton="0" quotePrefix="0" xfId="0">
      <alignment horizontal="left" vertical="center"/>
      <protection locked="1" hidden="1"/>
    </xf>
    <xf numFmtId="0" fontId="19" fillId="12" borderId="17" applyAlignment="1" applyProtection="1" pivotButton="0" quotePrefix="0" xfId="0">
      <alignment horizontal="left" vertical="center"/>
      <protection locked="1" hidden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18" fillId="10" borderId="9" applyAlignment="1" pivotButton="0" quotePrefix="0" xfId="0">
      <alignment horizontal="center" vertical="center" wrapText="1"/>
    </xf>
    <xf numFmtId="0" fontId="18" fillId="10" borderId="10" applyAlignment="1" pivotButton="0" quotePrefix="0" xfId="0">
      <alignment horizontal="center" vertical="center" wrapText="1"/>
    </xf>
    <xf numFmtId="0" fontId="18" fillId="10" borderId="11" applyAlignment="1" pivotButton="0" quotePrefix="0" xfId="0">
      <alignment horizontal="center" vertical="center" wrapText="1"/>
    </xf>
    <xf numFmtId="0" fontId="18" fillId="10" borderId="12" applyAlignment="1" pivotButton="0" quotePrefix="0" xfId="0">
      <alignment horizontal="center" vertical="center" wrapText="1"/>
    </xf>
    <xf numFmtId="0" fontId="18" fillId="10" borderId="4" applyAlignment="1" pivotButton="0" quotePrefix="0" xfId="0">
      <alignment horizontal="center" vertical="center" wrapText="1"/>
    </xf>
    <xf numFmtId="0" fontId="18" fillId="10" borderId="13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11" fillId="0" borderId="14" applyAlignment="1" pivotButton="0" quotePrefix="0" xfId="0">
      <alignment vertical="center" wrapText="1"/>
    </xf>
    <xf numFmtId="0" fontId="22" fillId="9" borderId="15" applyAlignment="1" applyProtection="1" pivotButton="0" quotePrefix="0" xfId="0">
      <alignment horizontal="left" vertical="center"/>
      <protection locked="1" hidden="1"/>
    </xf>
    <xf numFmtId="0" fontId="22" fillId="9" borderId="16" applyAlignment="1" applyProtection="1" pivotButton="0" quotePrefix="0" xfId="0">
      <alignment horizontal="left" vertical="center"/>
      <protection locked="1" hidden="1"/>
    </xf>
    <xf numFmtId="0" fontId="22" fillId="9" borderId="17" applyAlignment="1" applyProtection="1" pivotButton="0" quotePrefix="0" xfId="0">
      <alignment horizontal="left" vertical="center"/>
      <protection locked="1" hidden="1"/>
    </xf>
    <xf numFmtId="0" fontId="11" fillId="0" borderId="0" applyAlignment="1" pivotButton="0" quotePrefix="0" xfId="0">
      <alignment vertical="center" wrapText="1"/>
    </xf>
    <xf numFmtId="0" fontId="13" fillId="6" borderId="23" applyAlignment="1" pivotButton="0" quotePrefix="0" xfId="0">
      <alignment horizontal="center" vertical="center"/>
    </xf>
    <xf numFmtId="0" fontId="13" fillId="6" borderId="22" applyAlignment="1" pivotButton="0" quotePrefix="0" xfId="0">
      <alignment horizontal="center" vertical="center"/>
    </xf>
    <xf numFmtId="0" fontId="9" fillId="13" borderId="47" applyAlignment="1" applyProtection="1" pivotButton="0" quotePrefix="0" xfId="0">
      <alignment horizontal="left" vertical="center"/>
      <protection locked="0" hidden="1"/>
    </xf>
    <xf numFmtId="0" fontId="9" fillId="13" borderId="48" applyAlignment="1" applyProtection="1" pivotButton="0" quotePrefix="0" xfId="0">
      <alignment horizontal="left" vertical="center"/>
      <protection locked="0" hidden="1"/>
    </xf>
    <xf numFmtId="0" fontId="9" fillId="13" borderId="49" applyAlignment="1" applyProtection="1" pivotButton="0" quotePrefix="0" xfId="0">
      <alignment horizontal="left" vertical="center"/>
      <protection locked="0" hidden="1"/>
    </xf>
    <xf numFmtId="0" fontId="30" fillId="14" borderId="28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8" fillId="10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43" fontId="7" fillId="7" borderId="1" applyAlignment="1" pivotButton="0" quotePrefix="0" xfId="1">
      <alignment vertical="center"/>
    </xf>
    <xf numFmtId="0" fontId="0" fillId="0" borderId="7" applyProtection="1" pivotButton="0" quotePrefix="0" xfId="0">
      <protection locked="1" hidden="1"/>
    </xf>
    <xf numFmtId="0" fontId="0" fillId="0" borderId="80" applyProtection="1" pivotButton="0" quotePrefix="0" xfId="0">
      <protection locked="1" hidden="1"/>
    </xf>
    <xf numFmtId="0" fontId="0" fillId="0" borderId="12" pivotButton="0" quotePrefix="0" xfId="0"/>
    <xf numFmtId="0" fontId="0" fillId="0" borderId="4" pivotButton="0" quotePrefix="0" xfId="0"/>
    <xf numFmtId="0" fontId="0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14" pivotButton="0" quotePrefix="0" xfId="0"/>
    <xf numFmtId="164" fontId="7" fillId="7" borderId="1" applyAlignment="1" pivotButton="0" quotePrefix="0" xfId="0">
      <alignment vertical="center"/>
    </xf>
    <xf numFmtId="164" fontId="20" fillId="7" borderId="1" applyAlignment="1" pivotButton="0" quotePrefix="0" xfId="0">
      <alignment vertical="center"/>
    </xf>
    <xf numFmtId="0" fontId="0" fillId="0" borderId="22" pivotButton="0" quotePrefix="0" xfId="0"/>
    <xf numFmtId="0" fontId="13" fillId="6" borderId="21" applyAlignment="1" pivotButton="0" quotePrefix="0" xfId="0">
      <alignment horizontal="center" vertical="center"/>
    </xf>
    <xf numFmtId="0" fontId="0" fillId="0" borderId="28" pivotButton="0" quotePrefix="0" xfId="0"/>
    <xf numFmtId="0" fontId="9" fillId="13" borderId="46" applyAlignment="1" applyProtection="1" pivotButton="0" quotePrefix="0" xfId="0">
      <alignment horizontal="left" vertical="center"/>
      <protection locked="0" hidden="1"/>
    </xf>
    <xf numFmtId="0" fontId="0" fillId="0" borderId="48" applyProtection="1" pivotButton="0" quotePrefix="0" xfId="0">
      <protection locked="0" hidden="1"/>
    </xf>
    <xf numFmtId="0" fontId="0" fillId="0" borderId="49" applyProtection="1" pivotButton="0" quotePrefix="0" xfId="0">
      <protection locked="0" hidden="1"/>
    </xf>
    <xf numFmtId="0" fontId="0" fillId="0" borderId="33" applyProtection="1" pivotButton="0" quotePrefix="0" xfId="0">
      <protection locked="0" hidden="1"/>
    </xf>
    <xf numFmtId="0" fontId="0" fillId="0" borderId="31" applyProtection="1" pivotButton="0" quotePrefix="0" xfId="0">
      <protection locked="0" hidden="1"/>
    </xf>
    <xf numFmtId="0" fontId="9" fillId="13" borderId="38" applyAlignment="1" applyProtection="1" pivotButton="0" quotePrefix="0" xfId="0">
      <alignment horizontal="left" vertical="center"/>
      <protection locked="0" hidden="1"/>
    </xf>
    <xf numFmtId="0" fontId="0" fillId="0" borderId="44" applyProtection="1" pivotButton="0" quotePrefix="0" xfId="0">
      <protection locked="0" hidden="1"/>
    </xf>
    <xf numFmtId="0" fontId="9" fillId="13" borderId="66" applyAlignment="1" applyProtection="1" pivotButton="0" quotePrefix="0" xfId="0">
      <alignment horizontal="left" vertical="center"/>
      <protection locked="0" hidden="1"/>
    </xf>
    <xf numFmtId="0" fontId="0" fillId="0" borderId="68" applyProtection="1" pivotButton="0" quotePrefix="0" xfId="0">
      <protection locked="0" hidden="1"/>
    </xf>
    <xf numFmtId="0" fontId="0" fillId="0" borderId="69" applyProtection="1" pivotButton="0" quotePrefix="0" xfId="0">
      <protection locked="0" hidden="1"/>
    </xf>
    <xf numFmtId="43" fontId="32" fillId="0" borderId="0" applyAlignment="1" pivotButton="0" quotePrefix="0" xfId="1">
      <alignment vertical="center"/>
    </xf>
    <xf numFmtId="43" fontId="31" fillId="2" borderId="0" applyAlignment="1" pivotButton="0" quotePrefix="0" xfId="1">
      <alignment horizontal="center" vertical="center"/>
    </xf>
  </cellXfs>
  <cellStyles count="5">
    <cellStyle name="Normal" xfId="0" builtinId="0"/>
    <cellStyle name="Millares" xfId="1" builtinId="3"/>
    <cellStyle name="Moneda" xfId="2" builtinId="4"/>
    <cellStyle name="Hipervínculo" xfId="3" builtinId="8"/>
    <cellStyle name="Normal 2" xfId="4"/>
  </cellStyles>
  <dxfs count="15"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name val="Arial"/>
        <b val="1"/>
        <strike val="0"/>
        <outline val="0"/>
        <shadow val="0"/>
        <condense val="0"/>
        <color auto="1"/>
        <extend val="0"/>
        <sz val="8"/>
        <vertAlign val="baseline"/>
      </font>
      <numFmt numFmtId="1" formatCode="0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sz val="11"/>
        <vertAlign val="baseline"/>
      </font>
      <alignment vertical="center"/>
    </dxf>
    <dxf>
      <font>
        <strike val="0"/>
        <outline val="0"/>
        <shadow val="0"/>
        <sz val="11"/>
        <vertAlign val="baseline"/>
      </font>
      <alignment vertical="center"/>
    </dxf>
    <dxf>
      <font>
        <strike val="0"/>
        <outline val="0"/>
        <shadow val="0"/>
        <sz val="11"/>
        <vertAlign val="baseline"/>
      </font>
      <alignment vertical="center"/>
    </dxf>
    <dxf>
      <font>
        <strike val="0"/>
        <outline val="0"/>
        <shadow val="0"/>
        <sz val="11"/>
        <vertAlign val="baseline"/>
      </font>
      <alignment vertical="center"/>
    </dxf>
    <dxf>
      <font>
        <strike val="0"/>
        <outline val="0"/>
        <shadow val="0"/>
        <sz val="11"/>
        <vertAlign val="baseline"/>
      </font>
      <alignment vertical="center"/>
    </dxf>
    <dxf>
      <font>
        <strike val="0"/>
        <outline val="0"/>
        <shadow val="0"/>
        <sz val="11"/>
        <vertAlign val="baseline"/>
      </font>
      <alignment vertical="center"/>
    </dxf>
    <dxf>
      <font>
        <strike val="0"/>
        <outline val="0"/>
        <shadow val="0"/>
        <sz val="11"/>
        <vertAlign val="baseline"/>
      </font>
      <alignment vertical="center"/>
    </dxf>
    <dxf>
      <fill>
        <patternFill>
          <bgColor theme="6" tint="0.5999633777886288"/>
        </patternFill>
      </fill>
    </dxf>
    <dxf>
      <fill>
        <patternFill>
          <bgColor theme="6" tint="0.7999816888943144"/>
        </patternFill>
      </fill>
    </dxf>
    <dxf>
      <font>
        <color theme="3" tint="0.3999450666829432"/>
      </font>
    </dxf>
    <dxf>
      <font>
        <color theme="3" tint="0.5999633777886288"/>
      </font>
    </dxf>
    <dxf>
      <font>
        <color theme="4" tint="0.3999450666829432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Agrap</author>
  </authors>
  <commentList>
    <comment ref="D5" authorId="0" shapeId="0">
      <text>
        <t xml:space="preserve">Nombre de la Finca automatico no Tocar.
</t>
      </text>
    </comment>
    <comment ref="D9" authorId="0" shapeId="0">
      <text>
        <t xml:space="preserve">Semana que esta reportando.
</t>
      </text>
    </comment>
  </commentList>
</comments>
</file>

<file path=xl/tables/table1.xml><?xml version="1.0" encoding="utf-8"?>
<table xmlns="http://schemas.openxmlformats.org/spreadsheetml/2006/main" id="1" name="Tabla1" displayName="Tabla1" ref="A1:E1588" headerRowCount="1" totalsRowShown="0" headerRowDxfId="9" dataDxfId="8">
  <sortState ref="A2:D148">
    <sortCondition ref="B2"/>
  </sortState>
  <tableColumns count="5">
    <tableColumn id="1" name="CODIGO" dataDxfId="7"/>
    <tableColumn id="2" name="NOMBRE" dataDxfId="6"/>
    <tableColumn id="3" name="UND" dataDxfId="5"/>
    <tableColumn id="4" name="PRECIO" dataDxfId="4"/>
    <tableColumn id="5" name="CODIGO2" dataDxfId="3"/>
  </tableColumns>
  <tableStyleInfo name="TableStyleMedium23" showFirstColumn="0" showLastColumn="0" showRowStripes="0" showColumnStripes="0"/>
</table>
</file>

<file path=xl/tables/table2.xml><?xml version="1.0" encoding="utf-8"?>
<table xmlns="http://schemas.openxmlformats.org/spreadsheetml/2006/main" id="2" name="Tabla2" displayName="Tabla2" ref="A1:E190" headerRowCount="1" totalsRowShown="0" headerRowDxfId="2" headerRowBorderDxfId="1" tableBorderDxfId="0">
  <sortState ref="A2:E126">
    <sortCondition ref="A2:A126"/>
  </sortState>
  <tableColumns count="5">
    <tableColumn id="1" name="CODIGO"/>
    <tableColumn id="6" name="Columna1"/>
    <tableColumn id="2" name="DESCRIPCION"/>
    <tableColumn id="3" name="finca"/>
    <tableColumn id="4" name="CODIGO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 codeName="Hoja1">
    <tabColor rgb="FFFFFF00"/>
    <outlinePr summaryBelow="1" summaryRight="1"/>
    <pageSetUpPr/>
  </sheetPr>
  <dimension ref="A1:BF121"/>
  <sheetViews>
    <sheetView showGridLines="0" tabSelected="1" topLeftCell="C1" zoomScaleNormal="100" workbookViewId="0">
      <pane ySplit="11" topLeftCell="A12" activePane="bottomLeft" state="frozen"/>
      <selection activeCell="B1" sqref="B1"/>
      <selection pane="bottomLeft" activeCell="P53" sqref="P53"/>
    </sheetView>
  </sheetViews>
  <sheetFormatPr baseColWidth="10" defaultColWidth="0" defaultRowHeight="12.5" zeroHeight="1"/>
  <cols>
    <col width="2.7265625" bestFit="1" customWidth="1" style="29" min="1" max="1"/>
    <col width="10.453125" bestFit="1" customWidth="1" style="30" min="2" max="2"/>
    <col width="9.453125" customWidth="1" style="31" min="3" max="3"/>
    <col width="12.453125" customWidth="1" style="31" min="4" max="4"/>
    <col width="11.453125" customWidth="1" style="31" min="5" max="5"/>
    <col width="9.1796875" customWidth="1" style="31" min="6" max="6"/>
    <col width="7.453125" customWidth="1" style="31" min="7" max="7"/>
    <col width="6.54296875" customWidth="1" style="31" min="8" max="8"/>
    <col width="9.453125" bestFit="1" customWidth="1" style="31" min="9" max="9"/>
    <col width="8.81640625" customWidth="1" style="32" min="10" max="10"/>
    <col width="37.26953125" customWidth="1" style="31" min="11" max="11"/>
    <col width="11.7265625" customWidth="1" style="31" min="12" max="12"/>
    <col width="7.26953125" customWidth="1" style="31" min="13" max="13"/>
    <col width="9.453125" bestFit="1" customWidth="1" style="31" min="14" max="14"/>
    <col width="4.54296875" bestFit="1" customWidth="1" style="31" min="15" max="15"/>
    <col width="4.54296875" customWidth="1" style="31" min="16" max="16"/>
    <col hidden="1" width="4.54296875" customWidth="1" style="31" min="17" max="17"/>
    <col hidden="1" width="6.1796875" customWidth="1" style="31" min="18" max="18"/>
    <col width="4.54296875" bestFit="1" customWidth="1" style="31" min="19" max="19"/>
    <col width="4.54296875" customWidth="1" style="31" min="20" max="20"/>
    <col hidden="1" width="4.54296875" customWidth="1" style="31" min="21" max="22"/>
    <col width="4.54296875" bestFit="1" customWidth="1" style="31" min="23" max="23"/>
    <col width="4.54296875" customWidth="1" style="31" min="24" max="24"/>
    <col hidden="1" width="4.54296875" customWidth="1" style="31" min="25" max="25"/>
    <col hidden="1" width="6.1796875" customWidth="1" style="31" min="26" max="26"/>
    <col width="4.54296875" bestFit="1" customWidth="1" style="31" min="27" max="27"/>
    <col width="4.7265625" bestFit="1" customWidth="1" style="31" min="28" max="28"/>
    <col hidden="1" width="6.1796875" customWidth="1" style="31" min="29" max="29"/>
    <col hidden="1" width="5.1796875" customWidth="1" style="31" min="30" max="30"/>
    <col hidden="1" width="4.54296875" customWidth="1" style="31" min="31" max="31"/>
    <col hidden="1" width="6.1796875" customWidth="1" style="31" min="32" max="32"/>
    <col hidden="1" width="4.54296875" customWidth="1" style="31" min="33" max="34"/>
    <col hidden="1" width="8.26953125" customWidth="1" style="31" min="35" max="35"/>
    <col hidden="1" width="4.1796875" customWidth="1" style="31" min="36" max="36"/>
    <col hidden="1" width="4.54296875" customWidth="1" style="31" min="37" max="37"/>
    <col hidden="1" width="6.1796875" customWidth="1" style="31" min="38" max="38"/>
    <col hidden="1" width="4.7265625" customWidth="1" style="31" min="39" max="39"/>
    <col hidden="1" width="4.54296875" customWidth="1" style="31" min="40" max="40"/>
    <col hidden="1" width="6.1796875" customWidth="1" style="31" min="41" max="41"/>
    <col hidden="1" width="4.453125" customWidth="1" style="31" min="42" max="42"/>
    <col hidden="1" width="4.54296875" customWidth="1" style="31" min="43" max="44"/>
    <col hidden="1" width="7.54296875" customWidth="1" style="31" min="45" max="45"/>
    <col hidden="1" width="5.1796875" customWidth="1" style="31" min="46" max="46"/>
    <col hidden="1" width="1.54296875" customWidth="1" style="31" min="47" max="48"/>
    <col hidden="1" width="9.7265625" customWidth="1" style="31" min="49" max="49"/>
    <col hidden="1" width="11.453125" customWidth="1" style="31" min="50" max="50"/>
    <col width="0.81640625" customWidth="1" style="31" min="51" max="51"/>
    <col width="20.81640625" bestFit="1" customWidth="1" style="31" min="52" max="52"/>
    <col width="4" customWidth="1" style="31" min="53" max="53"/>
    <col width="7" customWidth="1" style="31" min="54" max="54"/>
    <col hidden="1" width="10.7265625" customWidth="1" style="31" min="55" max="55"/>
    <col hidden="1" width="9.81640625" customWidth="1" style="31" min="56" max="56"/>
    <col width="0.81640625" customWidth="1" style="31" min="57" max="57"/>
    <col width="36.26953125" customWidth="1" style="31" min="58" max="58"/>
    <col width="2.81640625" customWidth="1" style="31" min="59" max="59"/>
    <col hidden="1" width="11.453125" customWidth="1" style="31" min="60" max="16384"/>
  </cols>
  <sheetData>
    <row r="1" ht="13" customHeight="1" thickBot="1"/>
    <row r="2" ht="16.5" customHeight="1" thickBot="1">
      <c r="A2" s="164" t="n"/>
      <c r="B2" s="176" t="inlineStr">
        <is>
          <t>Reporte Diario TRAVECEDO</t>
        </is>
      </c>
      <c r="C2" s="177" t="n"/>
      <c r="D2" s="178" t="n"/>
      <c r="F2" s="179" t="n"/>
      <c r="G2" s="180" t="n"/>
      <c r="H2" s="181" t="n"/>
      <c r="I2" s="34" t="n"/>
      <c r="K2" s="35" t="inlineStr">
        <is>
          <t>Coordinador:</t>
        </is>
      </c>
      <c r="L2" s="182" t="n"/>
      <c r="M2" s="147" t="n"/>
      <c r="N2" s="183" t="n"/>
      <c r="O2" s="184" t="n"/>
    </row>
    <row r="3" ht="13" customHeight="1" thickBot="1">
      <c r="A3" s="164" t="n"/>
      <c r="B3" s="37" t="n"/>
      <c r="C3" s="38" t="n"/>
      <c r="F3" s="185" t="n"/>
      <c r="G3" s="186" t="n"/>
      <c r="H3" s="187" t="n"/>
      <c r="I3" s="34" t="n"/>
    </row>
    <row r="4" ht="13" customHeight="1" thickBot="1">
      <c r="A4" s="164" t="n"/>
      <c r="B4" s="188" t="inlineStr">
        <is>
          <t>Cód. Agrosoft</t>
        </is>
      </c>
      <c r="C4" s="189" t="n"/>
      <c r="D4" s="39" t="n"/>
      <c r="K4" s="40" t="inlineStr">
        <is>
          <t>Administrador:</t>
        </is>
      </c>
      <c r="L4" s="190" t="n"/>
      <c r="M4" s="152" t="n"/>
      <c r="N4" s="183" t="n"/>
      <c r="O4" s="184" t="n"/>
    </row>
    <row r="5" ht="13.5" customHeight="1" thickBot="1">
      <c r="A5" s="164" t="n"/>
      <c r="B5" s="42" t="inlineStr">
        <is>
          <t>Nombre Finca</t>
        </is>
      </c>
      <c r="C5" s="169" t="n"/>
      <c r="D5" s="166">
        <f>IF(D4&lt;&gt;"",VLOOKUP(D4,Archivo!A:B,2,FALSE),"")</f>
        <v/>
      </c>
      <c r="E5" s="183" t="n"/>
      <c r="F5" s="184" t="n"/>
      <c r="K5" s="44" t="n"/>
    </row>
    <row r="6" ht="13" customHeight="1" thickBot="1">
      <c r="A6" s="164" t="n"/>
      <c r="B6" s="165" t="inlineStr">
        <is>
          <t>Periodo  Pago</t>
        </is>
      </c>
      <c r="C6" s="189" t="n"/>
      <c r="D6" s="24" t="n"/>
      <c r="K6" s="40" t="inlineStr">
        <is>
          <t>Aprobado:</t>
        </is>
      </c>
      <c r="L6" s="191" t="n"/>
      <c r="M6" s="23" t="n"/>
    </row>
    <row r="7" ht="13" customHeight="1" thickBot="1">
      <c r="A7" s="164" t="n"/>
      <c r="B7" s="165" t="inlineStr">
        <is>
          <t>Fecha RDTs AAAAMMDD</t>
        </is>
      </c>
      <c r="C7" s="189" t="n"/>
      <c r="D7" s="24" t="n"/>
      <c r="E7" s="46" t="inlineStr">
        <is>
          <t>Documento</t>
        </is>
      </c>
      <c r="F7" s="47" t="n"/>
      <c r="J7" s="32" t="inlineStr">
        <is>
          <t>PROCESADO</t>
        </is>
      </c>
      <c r="K7" s="44" t="n"/>
    </row>
    <row r="8" ht="15" customHeight="1" thickBot="1">
      <c r="A8" s="164" t="n"/>
      <c r="B8" s="165" t="inlineStr">
        <is>
          <t>Año</t>
        </is>
      </c>
      <c r="C8" s="189" t="n"/>
      <c r="D8" s="24" t="n"/>
      <c r="G8" s="48" t="inlineStr">
        <is>
          <t xml:space="preserve">Campos </t>
        </is>
      </c>
      <c r="K8" s="49" t="n"/>
      <c r="P8" s="50" t="n"/>
      <c r="S8" s="50" t="n"/>
    </row>
    <row r="9" ht="13" customHeight="1" thickBot="1">
      <c r="A9" s="164" t="n"/>
      <c r="B9" s="165" t="inlineStr">
        <is>
          <t>semana</t>
        </is>
      </c>
      <c r="C9" s="189" t="n"/>
      <c r="D9" s="24" t="n"/>
      <c r="G9" s="48" t="inlineStr">
        <is>
          <t>obligatorios</t>
        </is>
      </c>
      <c r="I9" s="47" t="n"/>
    </row>
    <row r="10" ht="13" customHeight="1">
      <c r="A10" s="164" t="n"/>
      <c r="B10" s="37" t="n"/>
      <c r="C10" s="38" t="n"/>
      <c r="O10" s="52" t="n">
        <v>1</v>
      </c>
      <c r="P10" s="192" t="n"/>
      <c r="Q10" s="151" t="n"/>
      <c r="R10" s="52" t="n"/>
      <c r="S10" s="52" t="n">
        <v>2</v>
      </c>
      <c r="T10" s="192" t="n"/>
      <c r="U10" s="151" t="n"/>
      <c r="V10" s="53" t="n"/>
      <c r="W10" s="52" t="n">
        <v>3</v>
      </c>
      <c r="X10" s="192" t="n"/>
      <c r="Y10" s="151" t="n"/>
      <c r="Z10" s="53" t="n"/>
      <c r="AA10" s="52" t="n">
        <v>4</v>
      </c>
      <c r="AB10" s="192" t="n"/>
      <c r="AC10" s="54" t="n"/>
      <c r="AD10" s="193" t="n">
        <v>5</v>
      </c>
      <c r="AE10" s="192" t="n"/>
      <c r="AF10" s="56" t="n"/>
      <c r="AG10" s="193" t="n">
        <v>6</v>
      </c>
      <c r="AH10" s="192" t="n"/>
      <c r="AI10" s="54" t="n"/>
      <c r="AJ10" s="193" t="n">
        <v>7</v>
      </c>
      <c r="AK10" s="192" t="n"/>
      <c r="AL10" s="56" t="n"/>
      <c r="AM10" s="193" t="n">
        <v>8</v>
      </c>
      <c r="AN10" s="192" t="n"/>
      <c r="AO10" s="54" t="n"/>
      <c r="AP10" s="193" t="n">
        <v>9</v>
      </c>
      <c r="AQ10" s="192" t="n"/>
      <c r="AR10" s="171" t="n"/>
      <c r="AS10" s="56" t="n"/>
      <c r="AU10" s="57" t="n"/>
    </row>
    <row r="11" ht="39" customHeight="1">
      <c r="A11" s="164" t="n"/>
      <c r="B11" s="58" t="inlineStr">
        <is>
          <t>Fecha</t>
        </is>
      </c>
      <c r="C11" s="59" t="inlineStr">
        <is>
          <t>Código Trabajador</t>
        </is>
      </c>
      <c r="D11" s="175" t="inlineStr">
        <is>
          <t>Nombre del Trabajador</t>
        </is>
      </c>
      <c r="E11" s="194" t="n"/>
      <c r="F11" s="194" t="n"/>
      <c r="G11" s="59" t="inlineStr">
        <is>
          <t>Horas Jornada</t>
        </is>
      </c>
      <c r="H11" s="59" t="inlineStr">
        <is>
          <t>Horas Labor</t>
        </is>
      </c>
      <c r="I11" s="59" t="inlineStr">
        <is>
          <t>Cod.  Finca Laboro</t>
        </is>
      </c>
      <c r="J11" s="59" t="inlineStr">
        <is>
          <t>Código Labor</t>
        </is>
      </c>
      <c r="K11" s="60" t="inlineStr">
        <is>
          <t>Nombre Labor</t>
        </is>
      </c>
      <c r="L11" s="61" t="inlineStr">
        <is>
          <t>Unidades  a pagar</t>
        </is>
      </c>
      <c r="M11" s="61" t="inlineStr">
        <is>
          <t>Vr. Undidad</t>
        </is>
      </c>
      <c r="N11" s="61" t="inlineStr">
        <is>
          <t>Porcentaje Recargo</t>
        </is>
      </c>
      <c r="O11" s="61" t="inlineStr">
        <is>
          <t>Lote Nro</t>
        </is>
      </c>
      <c r="P11" s="61" t="inlineStr">
        <is>
          <t>Area Lote</t>
        </is>
      </c>
      <c r="Q11" s="61" t="inlineStr">
        <is>
          <t>Sem Normal</t>
        </is>
      </c>
      <c r="R11" s="61" t="inlineStr">
        <is>
          <t>Sem Atrazo</t>
        </is>
      </c>
      <c r="S11" s="61" t="inlineStr">
        <is>
          <t>Lote Nro</t>
        </is>
      </c>
      <c r="T11" s="61" t="inlineStr">
        <is>
          <t>Area Lote</t>
        </is>
      </c>
      <c r="U11" s="61" t="inlineStr">
        <is>
          <t>Sem Normal</t>
        </is>
      </c>
      <c r="V11" s="61" t="inlineStr">
        <is>
          <t>Sem Atrazo</t>
        </is>
      </c>
      <c r="W11" s="61" t="inlineStr">
        <is>
          <t>Lote Nro</t>
        </is>
      </c>
      <c r="X11" s="61" t="inlineStr">
        <is>
          <t>Area Lote</t>
        </is>
      </c>
      <c r="Y11" s="61" t="inlineStr">
        <is>
          <t>Sem Normal</t>
        </is>
      </c>
      <c r="Z11" s="61" t="inlineStr">
        <is>
          <t>Semanas Atrazo</t>
        </is>
      </c>
      <c r="AA11" s="61" t="inlineStr">
        <is>
          <t>Lote Nro</t>
        </is>
      </c>
      <c r="AB11" s="61" t="inlineStr">
        <is>
          <t>Area Lote</t>
        </is>
      </c>
      <c r="AC11" s="62" t="inlineStr">
        <is>
          <t>Semanas Atrazo</t>
        </is>
      </c>
      <c r="AD11" s="63" t="inlineStr">
        <is>
          <t>Lote Nro</t>
        </is>
      </c>
      <c r="AE11" s="63" t="inlineStr">
        <is>
          <t>Area Lote</t>
        </is>
      </c>
      <c r="AF11" s="64" t="inlineStr">
        <is>
          <t>Semanas Atrazo</t>
        </is>
      </c>
      <c r="AG11" s="63" t="inlineStr">
        <is>
          <t>Lote Nro</t>
        </is>
      </c>
      <c r="AH11" s="63" t="inlineStr">
        <is>
          <t>Area Lote</t>
        </is>
      </c>
      <c r="AI11" s="62" t="inlineStr">
        <is>
          <t>Semanas Atrazo</t>
        </is>
      </c>
      <c r="AJ11" s="63" t="inlineStr">
        <is>
          <t>Lote Nro</t>
        </is>
      </c>
      <c r="AK11" s="63" t="inlineStr">
        <is>
          <t>Area Lote</t>
        </is>
      </c>
      <c r="AL11" s="64" t="inlineStr">
        <is>
          <t>Semanas Atrazo</t>
        </is>
      </c>
      <c r="AM11" s="63" t="inlineStr">
        <is>
          <t>Lote Nro</t>
        </is>
      </c>
      <c r="AN11" s="63" t="inlineStr">
        <is>
          <t>Area Lote</t>
        </is>
      </c>
      <c r="AO11" s="62" t="inlineStr">
        <is>
          <t>Semanas Atrazo</t>
        </is>
      </c>
      <c r="AP11" s="63" t="inlineStr">
        <is>
          <t>Lote Nro</t>
        </is>
      </c>
      <c r="AQ11" s="63" t="inlineStr">
        <is>
          <t>Area Lote</t>
        </is>
      </c>
      <c r="AR11" s="63" t="inlineStr">
        <is>
          <t>Sem Normal</t>
        </is>
      </c>
      <c r="AS11" s="63" t="inlineStr">
        <is>
          <t>Semanas Atrazo</t>
        </is>
      </c>
      <c r="AT11" s="65" t="inlineStr">
        <is>
          <t>Observaciones</t>
        </is>
      </c>
      <c r="AU11" s="66" t="inlineStr">
        <is>
          <t>TOTAL</t>
        </is>
      </c>
      <c r="AW11" s="67" t="inlineStr">
        <is>
          <t>Precio</t>
        </is>
      </c>
      <c r="AX11" s="67" t="inlineStr">
        <is>
          <t>Valor Dia</t>
        </is>
      </c>
      <c r="AY11" s="104" t="n"/>
      <c r="AZ11" s="105" t="inlineStr">
        <is>
          <t>Cajas elaboradas</t>
        </is>
      </c>
      <c r="BA11" s="106" t="n"/>
      <c r="BB11" s="137" t="n">
        <v>480</v>
      </c>
      <c r="BC11" s="68" t="inlineStr">
        <is>
          <t>Catorcena</t>
        </is>
      </c>
      <c r="BD11" s="68" t="inlineStr">
        <is>
          <t>Fecha</t>
        </is>
      </c>
      <c r="BF11" s="132" t="inlineStr">
        <is>
          <t>OBSERVACIONES</t>
        </is>
      </c>
    </row>
    <row r="12" ht="13.5" customHeight="1">
      <c r="A12" s="164" t="n"/>
      <c r="B12" s="69" t="n"/>
      <c r="C12" s="70" t="n"/>
      <c r="D12" s="71" t="n"/>
      <c r="E12" s="71" t="n"/>
      <c r="F12" s="71" t="n"/>
      <c r="G12" s="70" t="n"/>
      <c r="H12" s="70" t="n"/>
      <c r="I12" s="70" t="n"/>
      <c r="J12" s="70" t="n"/>
      <c r="K12" s="72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73" t="n"/>
      <c r="Y12" s="73" t="n"/>
      <c r="Z12" s="73" t="n"/>
      <c r="AA12" s="73" t="n"/>
      <c r="AB12" s="73" t="n"/>
      <c r="AC12" s="74" t="n"/>
      <c r="AD12" s="75" t="n"/>
      <c r="AE12" s="75" t="n"/>
      <c r="AF12" s="76" t="n"/>
      <c r="AG12" s="75" t="n"/>
      <c r="AH12" s="75" t="n"/>
      <c r="AI12" s="74" t="n"/>
      <c r="AJ12" s="75" t="n"/>
      <c r="AK12" s="75" t="n"/>
      <c r="AL12" s="76" t="n"/>
      <c r="AM12" s="75" t="n"/>
      <c r="AN12" s="75" t="n"/>
      <c r="AO12" s="74" t="n"/>
      <c r="AP12" s="75" t="n"/>
      <c r="AQ12" s="75" t="n"/>
      <c r="AR12" s="75" t="n"/>
      <c r="AS12" s="75" t="n"/>
      <c r="AT12" s="77" t="n"/>
      <c r="AU12" s="66" t="n"/>
      <c r="AW12" s="78" t="n"/>
      <c r="AX12" s="78" t="n"/>
      <c r="AY12" s="104" t="n"/>
      <c r="AZ12" s="108" t="inlineStr">
        <is>
          <t>Corte caja integral</t>
        </is>
      </c>
      <c r="BA12" s="109">
        <f>COUNTIF($K$13:$K$1048576,$AZ12)+COUNTIF($K$13:$K$1048576,"Corte caja integral festivo")+COUNTIF($K$13:$K$1048576,"Corte caja integral dominical")</f>
        <v/>
      </c>
      <c r="BB12" s="110">
        <f>SUMIF($K$13:$K$1048576,$AZ12,$L$13:$L$1048576)+SUMIF($K$13:$K$1048576,"Corte caja integral festivo",$L$13:$L$1048576)+SUMIF($K$13:$K$1048576,"Corte caja integral dominical",$L$13:$L$1048576)</f>
        <v/>
      </c>
      <c r="BC12" s="68" t="n"/>
      <c r="BD12" s="68" t="n"/>
      <c r="BF12" s="131" t="n"/>
    </row>
    <row r="13" ht="13" customHeight="1">
      <c r="B13" s="79" t="n"/>
      <c r="C13" s="80">
        <f>IFERROR(VLOOKUP(D13,lista_trabajadores!B:E,4,FALSE),"")</f>
        <v/>
      </c>
      <c r="D13" s="195" t="n"/>
      <c r="E13" s="196" t="n"/>
      <c r="F13" s="197" t="n"/>
      <c r="G13" s="81" t="n"/>
      <c r="H13" s="95" t="n"/>
      <c r="I13" s="82" t="n"/>
      <c r="J13" s="80">
        <f>IFERROR(VLOOKUP($K13,Tabla1[[NOMBRE]:[CODIGO2]],4,0),"")</f>
        <v/>
      </c>
      <c r="K13" s="28" t="n"/>
      <c r="L13" s="83">
        <f>SUMIF($O$11:$AB$11,"Area Lote",$O13:$AB13)</f>
        <v/>
      </c>
      <c r="M13" s="84" t="n"/>
      <c r="N13" s="84" t="n"/>
      <c r="O13" s="97" t="n"/>
      <c r="P13" s="98" t="n"/>
      <c r="Q13" s="99" t="n"/>
      <c r="R13" s="99" t="n"/>
      <c r="S13" s="97" t="n"/>
      <c r="T13" s="98" t="n"/>
      <c r="U13" s="99" t="n"/>
      <c r="V13" s="99" t="n"/>
      <c r="W13" s="97" t="n"/>
      <c r="X13" s="98" t="n"/>
      <c r="Y13" s="99" t="n"/>
      <c r="Z13" s="99" t="n"/>
      <c r="AA13" s="97" t="n"/>
      <c r="AB13" s="98" t="n"/>
      <c r="AC13" s="85" t="n"/>
      <c r="AD13" s="85" t="n"/>
      <c r="AE13" s="85" t="n"/>
      <c r="AF13" s="85" t="n"/>
      <c r="AG13" s="85" t="n"/>
      <c r="AH13" s="85" t="n"/>
      <c r="AI13" s="85" t="n"/>
      <c r="AJ13" s="85" t="n"/>
      <c r="AK13" s="85" t="n"/>
      <c r="AL13" s="85" t="n"/>
      <c r="AM13" s="85" t="n"/>
      <c r="AN13" s="85" t="n"/>
      <c r="AO13" s="85" t="n"/>
      <c r="AP13" s="85" t="n"/>
      <c r="AQ13" s="85" t="n"/>
      <c r="AR13" s="85" t="n"/>
      <c r="AS13" s="85" t="n"/>
      <c r="AT13" s="86" t="n"/>
      <c r="AU13" s="57" t="n"/>
      <c r="AV13" s="87" t="n"/>
      <c r="AW13" s="88">
        <f>IF(J13&lt;&gt;" ",VLOOKUP(J13,lista_labores,4,FALSE),"  ")</f>
        <v/>
      </c>
      <c r="AX13" s="88">
        <f>+AW13*L13</f>
        <v/>
      </c>
      <c r="AY13" s="103" t="n"/>
      <c r="AZ13" s="111" t="inlineStr">
        <is>
          <t>Corte promedio</t>
        </is>
      </c>
      <c r="BA13" s="112">
        <f>COUNTIF($K$13:$K$1048576,$AZ13)+COUNTIF($K$13:$K$1048576,"Corte promedio festivo")+COUNTIF($K$13:$K$1048576,"Corte promedio dominical")</f>
        <v/>
      </c>
      <c r="BB13" s="113">
        <f>SUMIF($K$13:$K$1048576,$AZ13,$L$13:$L$1048576)+SUMIF($K$13:$K$1048576,"Corte promedio festivo",$L$13:$L$1048576)+SUMIF($K$13:$K$1048576,"Corte promedio dominical",$L$13:$L$1048576)</f>
        <v/>
      </c>
      <c r="BF13" s="133" t="n"/>
    </row>
    <row r="14" ht="13" customHeight="1">
      <c r="B14" s="89" t="n"/>
      <c r="C14" s="90">
        <f>IFERROR(VLOOKUP(D14,lista_trabajadores!B:E,4,FALSE),"")</f>
        <v/>
      </c>
      <c r="D14" s="139" t="n"/>
      <c r="E14" s="198" t="n"/>
      <c r="F14" s="198" t="n"/>
      <c r="G14" s="91" t="n"/>
      <c r="H14" s="96" t="n"/>
      <c r="I14" s="92" t="n"/>
      <c r="J14" s="90">
        <f>IFERROR(VLOOKUP($K14,Tabla1[[NOMBRE]:[CODIGO2]],4,0),"")</f>
        <v/>
      </c>
      <c r="K14" s="26" t="n"/>
      <c r="L14" s="93">
        <f>SUMIF($O$11:$AB$11,"Area Lote",$O14:$AB14)</f>
        <v/>
      </c>
      <c r="M14" s="94" t="n"/>
      <c r="N14" s="94" t="n"/>
      <c r="O14" s="100" t="n"/>
      <c r="P14" s="101" t="n"/>
      <c r="Q14" s="102" t="n"/>
      <c r="R14" s="102" t="n"/>
      <c r="S14" s="100" t="n"/>
      <c r="T14" s="101" t="n"/>
      <c r="U14" s="102" t="n"/>
      <c r="V14" s="102" t="n"/>
      <c r="W14" s="100" t="n"/>
      <c r="X14" s="101" t="n"/>
      <c r="Y14" s="102" t="n"/>
      <c r="Z14" s="102" t="n"/>
      <c r="AA14" s="100" t="n"/>
      <c r="AB14" s="101" t="n"/>
      <c r="AC14" s="85" t="n"/>
      <c r="AD14" s="85" t="n"/>
      <c r="AE14" s="85" t="n"/>
      <c r="AF14" s="85" t="n"/>
      <c r="AG14" s="85" t="n"/>
      <c r="AH14" s="85" t="n"/>
      <c r="AI14" s="85" t="n"/>
      <c r="AJ14" s="85" t="n"/>
      <c r="AK14" s="85" t="n"/>
      <c r="AL14" s="85" t="n"/>
      <c r="AM14" s="85" t="n"/>
      <c r="AN14" s="85" t="n"/>
      <c r="AO14" s="85" t="n"/>
      <c r="AP14" s="85" t="n"/>
      <c r="AQ14" s="85" t="n"/>
      <c r="AR14" s="85" t="n"/>
      <c r="AS14" s="85" t="n"/>
      <c r="AT14" s="86" t="n"/>
      <c r="AU14" s="57" t="n"/>
      <c r="AV14" s="87" t="n"/>
      <c r="AW14" s="88">
        <f>IF(J14&lt;&gt;" ",VLOOKUP(J14,lista_labores,4,FALSE),"  ")</f>
        <v/>
      </c>
      <c r="AX14" s="88">
        <f>+AW14*L14</f>
        <v/>
      </c>
      <c r="AY14" s="103" t="n"/>
      <c r="AZ14" s="111" t="inlineStr">
        <is>
          <t>Corte promedio rechazo</t>
        </is>
      </c>
      <c r="BA14" s="112">
        <f>COUNTIF($K$13:$K$1048576,$AZ14)+COUNTIF($K$13:$K$1048576,"Corte promedio rechazo festivo")+COUNTIF($K$13:$K$1048576,"Corte promedio rechazo dominical")</f>
        <v/>
      </c>
      <c r="BB14" s="113">
        <f>SUMIF($K$13:$K$1048576,$AZ14,$L$13:$L$1048576)+SUMIF($K$13:$K$1048576,"Corte promedio rechazo festivo",$L$13:$L$1048576)+SUMIF($K$13:$K$1048576,"Corte promedio rechazo dominical",$L$13:$L$1048576)</f>
        <v/>
      </c>
      <c r="BF14" s="134" t="n"/>
    </row>
    <row r="15" ht="13" customHeight="1">
      <c r="B15" s="89" t="n"/>
      <c r="C15" s="90">
        <f>IFERROR(VLOOKUP(D15,lista_trabajadores!B:E,4,FALSE),"")</f>
        <v/>
      </c>
      <c r="D15" s="139" t="n"/>
      <c r="E15" s="198" t="n"/>
      <c r="F15" s="198" t="n"/>
      <c r="G15" s="91" t="n"/>
      <c r="H15" s="96" t="n"/>
      <c r="I15" s="92" t="n"/>
      <c r="J15" s="90">
        <f>IFERROR(VLOOKUP($K15,Tabla1[[NOMBRE]:[CODIGO2]],4,0),"")</f>
        <v/>
      </c>
      <c r="K15" s="26" t="n"/>
      <c r="L15" s="93">
        <f>SUMIF($O$11:$AB$11,"Area Lote",$O15:$AB15)</f>
        <v/>
      </c>
      <c r="M15" s="94" t="n"/>
      <c r="N15" s="94" t="n"/>
      <c r="O15" s="100" t="n"/>
      <c r="P15" s="101" t="n"/>
      <c r="Q15" s="102" t="n"/>
      <c r="R15" s="102" t="n"/>
      <c r="S15" s="100" t="n"/>
      <c r="T15" s="101" t="n"/>
      <c r="U15" s="102" t="n"/>
      <c r="V15" s="102" t="n"/>
      <c r="W15" s="100" t="n"/>
      <c r="X15" s="101" t="n"/>
      <c r="Y15" s="102" t="n"/>
      <c r="Z15" s="102" t="n"/>
      <c r="AA15" s="100" t="n"/>
      <c r="AB15" s="101" t="n"/>
      <c r="AC15" s="85" t="n"/>
      <c r="AD15" s="85" t="n"/>
      <c r="AE15" s="85" t="n"/>
      <c r="AF15" s="85" t="n"/>
      <c r="AG15" s="85" t="n"/>
      <c r="AH15" s="85" t="n"/>
      <c r="AI15" s="85" t="n"/>
      <c r="AJ15" s="85" t="n"/>
      <c r="AK15" s="85" t="n"/>
      <c r="AL15" s="85" t="n"/>
      <c r="AM15" s="85" t="n"/>
      <c r="AN15" s="85" t="n"/>
      <c r="AO15" s="85" t="n"/>
      <c r="AP15" s="85" t="n"/>
      <c r="AQ15" s="85" t="n"/>
      <c r="AR15" s="85" t="n"/>
      <c r="AS15" s="85" t="n"/>
      <c r="AT15" s="86" t="n"/>
      <c r="AU15" s="57" t="n"/>
      <c r="AV15" s="87" t="n"/>
      <c r="AW15" s="88">
        <f>IF(J15&lt;&gt;" ",VLOOKUP(J15,lista_labores,4,FALSE),"  ")</f>
        <v/>
      </c>
      <c r="AX15" s="88">
        <f>+AW15*L15</f>
        <v/>
      </c>
      <c r="AY15" s="103" t="n"/>
      <c r="AZ15" s="111" t="inlineStr">
        <is>
          <t>Corte promedio bioseguridad</t>
        </is>
      </c>
      <c r="BA15" s="112">
        <f>COUNTIF($K$13:$K$1048576,$AZ15)+COUNTIF($K$13:$K$1048576,"Corte promedio bioseguridad festivo")+COUNTIF($K$13:$K$1048576,"Corte promedio bioseguridad dominical")</f>
        <v/>
      </c>
      <c r="BB15" s="113">
        <f>SUMIF($K$13:$K$1048576,$AZ15,$L$13:$L$1048576)+SUMIF($K$13:$K$1048576,"Corte promedio bioseguridad festivo",$L$13:$L$1048576)+SUMIF($K$13:$K$1048576,"Corte promedio bioseguridad dominical",$L$13:$L$1048576)</f>
        <v/>
      </c>
      <c r="BF15" s="134" t="n"/>
    </row>
    <row r="16" ht="13" customHeight="1">
      <c r="B16" s="89" t="n"/>
      <c r="C16" s="90">
        <f>IFERROR(VLOOKUP(D16,lista_trabajadores!B:E,4,FALSE),"")</f>
        <v/>
      </c>
      <c r="D16" s="139" t="n"/>
      <c r="E16" s="198" t="n"/>
      <c r="F16" s="198" t="n"/>
      <c r="G16" s="91" t="n"/>
      <c r="H16" s="96" t="n"/>
      <c r="I16" s="92" t="n"/>
      <c r="J16" s="90">
        <f>IFERROR(VLOOKUP($K16,Tabla1[[NOMBRE]:[CODIGO2]],4,0),"")</f>
        <v/>
      </c>
      <c r="K16" s="26" t="n"/>
      <c r="L16" s="93">
        <f>SUMIF($O$11:$AB$11,"Area Lote",$O16:$AB16)</f>
        <v/>
      </c>
      <c r="M16" s="94" t="n"/>
      <c r="N16" s="94" t="n"/>
      <c r="O16" s="100" t="n"/>
      <c r="P16" s="101" t="n"/>
      <c r="Q16" s="102" t="n"/>
      <c r="R16" s="102" t="n"/>
      <c r="S16" s="100" t="n"/>
      <c r="T16" s="101" t="n"/>
      <c r="U16" s="102" t="n"/>
      <c r="V16" s="102" t="n"/>
      <c r="W16" s="100" t="n"/>
      <c r="X16" s="101" t="n"/>
      <c r="Y16" s="102" t="n"/>
      <c r="Z16" s="102" t="n"/>
      <c r="AA16" s="100" t="n"/>
      <c r="AB16" s="101" t="n"/>
      <c r="AC16" s="85" t="n"/>
      <c r="AD16" s="85" t="n"/>
      <c r="AE16" s="85" t="n"/>
      <c r="AF16" s="85" t="n"/>
      <c r="AG16" s="85" t="n"/>
      <c r="AH16" s="85" t="n"/>
      <c r="AI16" s="85" t="n"/>
      <c r="AJ16" s="85" t="n"/>
      <c r="AK16" s="85" t="n"/>
      <c r="AL16" s="85" t="n"/>
      <c r="AM16" s="85" t="n"/>
      <c r="AN16" s="85" t="n"/>
      <c r="AO16" s="85" t="n"/>
      <c r="AP16" s="85" t="n"/>
      <c r="AQ16" s="85" t="n"/>
      <c r="AR16" s="85" t="n"/>
      <c r="AS16" s="85" t="n"/>
      <c r="AT16" s="86" t="n"/>
      <c r="AU16" s="57" t="n"/>
      <c r="AV16" s="87" t="n"/>
      <c r="AW16" s="88">
        <f>IF(J16&lt;&gt;" ",VLOOKUP(J16,lista_labores,4,FALSE),"  ")</f>
        <v/>
      </c>
      <c r="AX16" s="88">
        <f>+AW16*L16</f>
        <v/>
      </c>
      <c r="AY16" s="103" t="n"/>
      <c r="AZ16" s="114" t="inlineStr">
        <is>
          <t>Corte promedio cablero</t>
        </is>
      </c>
      <c r="BA16" s="115">
        <f>COUNTIF($K$13:$K$1048576,$AZ16)+COUNTIF($K$13:$K$1048576,"Corte promedio cablero festivo")+COUNTIF($K$13:$K$1048576,"Corte promedio cablero dominical")</f>
        <v/>
      </c>
      <c r="BB16" s="116">
        <f>SUMIF($K$13:$K$1048576,$AZ16,$L$13:$L$1048576)+SUMIF($K$13:$K$1048576,"Corte promedio cablero festivo",$L$13:$L$1048576)+SUMIF($K$13:$K$1048576,"Corte promedio cablero dominical",$L$13:$L$1048576)</f>
        <v/>
      </c>
      <c r="BF16" s="134" t="n"/>
    </row>
    <row r="17" ht="13" customHeight="1">
      <c r="B17" s="89" t="n"/>
      <c r="C17" s="90">
        <f>IFERROR(VLOOKUP(D17,lista_trabajadores!B:E,4,FALSE),"")</f>
        <v/>
      </c>
      <c r="D17" s="139" t="n"/>
      <c r="E17" s="198" t="n"/>
      <c r="F17" s="198" t="n"/>
      <c r="G17" s="91" t="n"/>
      <c r="H17" s="96" t="n"/>
      <c r="I17" s="92" t="n"/>
      <c r="J17" s="90">
        <f>IFERROR(VLOOKUP($K17,Tabla1[[NOMBRE]:[CODIGO2]],4,0),"")</f>
        <v/>
      </c>
      <c r="K17" s="26" t="n"/>
      <c r="L17" s="93">
        <f>SUMIF($O$11:$AB$11,"Area Lote",$O17:$AB17)</f>
        <v/>
      </c>
      <c r="M17" s="94" t="n"/>
      <c r="N17" s="94" t="n"/>
      <c r="O17" s="100" t="n"/>
      <c r="P17" s="101" t="n"/>
      <c r="Q17" s="102" t="n"/>
      <c r="R17" s="102" t="n"/>
      <c r="S17" s="100" t="n"/>
      <c r="T17" s="101" t="n"/>
      <c r="U17" s="102" t="n"/>
      <c r="V17" s="102" t="n"/>
      <c r="W17" s="100" t="n"/>
      <c r="X17" s="101" t="n"/>
      <c r="Y17" s="102" t="n"/>
      <c r="Z17" s="102" t="n"/>
      <c r="AA17" s="100" t="n"/>
      <c r="AB17" s="101" t="n"/>
      <c r="AC17" s="85" t="n"/>
      <c r="AD17" s="85" t="n"/>
      <c r="AE17" s="85" t="n"/>
      <c r="AF17" s="85" t="n"/>
      <c r="AG17" s="85" t="n"/>
      <c r="AH17" s="85" t="n"/>
      <c r="AI17" s="85" t="n"/>
      <c r="AJ17" s="85" t="n"/>
      <c r="AK17" s="85" t="n"/>
      <c r="AL17" s="85" t="n"/>
      <c r="AM17" s="85" t="n"/>
      <c r="AN17" s="85" t="n"/>
      <c r="AO17" s="85" t="n"/>
      <c r="AP17" s="85" t="n"/>
      <c r="AQ17" s="85" t="n"/>
      <c r="AR17" s="85" t="n"/>
      <c r="AS17" s="85" t="n"/>
      <c r="AT17" s="86" t="n"/>
      <c r="AU17" s="57" t="n"/>
      <c r="AV17" s="87" t="n"/>
      <c r="AW17" s="88">
        <f>IF(J17&lt;&gt;" ",VLOOKUP(J17,lista_labores,4,FALSE),"  ")</f>
        <v/>
      </c>
      <c r="AX17" s="88">
        <f>+AW17*L17</f>
        <v/>
      </c>
      <c r="AY17" s="103" t="n"/>
      <c r="AZ17" s="105" t="n"/>
      <c r="BA17" s="106" t="n"/>
      <c r="BB17" s="107">
        <f>BB11-BB12</f>
        <v/>
      </c>
      <c r="BF17" s="134" t="n"/>
    </row>
    <row r="18" ht="13" customHeight="1">
      <c r="B18" s="89" t="n"/>
      <c r="C18" s="90">
        <f>IFERROR(VLOOKUP(D18,lista_trabajadores!B:E,4,FALSE),"")</f>
        <v/>
      </c>
      <c r="D18" s="139" t="n"/>
      <c r="E18" s="198" t="n"/>
      <c r="F18" s="198" t="n"/>
      <c r="G18" s="91" t="n"/>
      <c r="H18" s="96" t="n"/>
      <c r="I18" s="92" t="n"/>
      <c r="J18" s="90">
        <f>IFERROR(VLOOKUP($K18,Tabla1[[NOMBRE]:[CODIGO2]],4,0),"")</f>
        <v/>
      </c>
      <c r="K18" s="26" t="n"/>
      <c r="L18" s="93">
        <f>SUMIF($O$11:$AB$11,"Area Lote",$O18:$AB18)</f>
        <v/>
      </c>
      <c r="M18" s="94" t="n"/>
      <c r="N18" s="94" t="n"/>
      <c r="O18" s="100" t="n"/>
      <c r="P18" s="101" t="n"/>
      <c r="Q18" s="102" t="n"/>
      <c r="R18" s="102" t="n"/>
      <c r="S18" s="100" t="n"/>
      <c r="T18" s="101" t="n"/>
      <c r="U18" s="102" t="n"/>
      <c r="V18" s="102" t="n"/>
      <c r="W18" s="100" t="n"/>
      <c r="X18" s="101" t="n"/>
      <c r="Y18" s="102" t="n"/>
      <c r="Z18" s="102" t="n"/>
      <c r="AA18" s="100" t="n"/>
      <c r="AB18" s="101" t="n"/>
      <c r="AC18" s="85" t="n"/>
      <c r="AD18" s="85" t="n"/>
      <c r="AE18" s="85" t="n"/>
      <c r="AF18" s="85" t="n"/>
      <c r="AG18" s="85" t="n"/>
      <c r="AH18" s="85" t="n"/>
      <c r="AI18" s="85" t="n"/>
      <c r="AJ18" s="85" t="n"/>
      <c r="AK18" s="85" t="n"/>
      <c r="AL18" s="85" t="n"/>
      <c r="AM18" s="85" t="n"/>
      <c r="AN18" s="85" t="n"/>
      <c r="AO18" s="85" t="n"/>
      <c r="AP18" s="85" t="n"/>
      <c r="AQ18" s="85" t="n"/>
      <c r="AR18" s="85" t="n"/>
      <c r="AS18" s="85" t="n"/>
      <c r="AT18" s="86" t="n"/>
      <c r="AU18" s="57" t="n"/>
      <c r="AV18" s="87" t="n"/>
      <c r="AW18" s="88">
        <f>IF(J18&lt;&gt;" ",VLOOKUP(J18,lista_labores,4,FALSE),"  ")</f>
        <v/>
      </c>
      <c r="AX18" s="88">
        <f>+AW18*L18</f>
        <v/>
      </c>
      <c r="AY18" s="103" t="n"/>
      <c r="BF18" s="134" t="n"/>
    </row>
    <row r="19" ht="13" customHeight="1">
      <c r="B19" s="89" t="n"/>
      <c r="C19" s="90">
        <f>IFERROR(VLOOKUP(D19,lista_trabajadores!B:E,4,FALSE),"")</f>
        <v/>
      </c>
      <c r="D19" s="139" t="n"/>
      <c r="E19" s="198" t="n"/>
      <c r="F19" s="198" t="n"/>
      <c r="G19" s="91" t="n"/>
      <c r="H19" s="96" t="n"/>
      <c r="I19" s="92" t="n"/>
      <c r="J19" s="90">
        <f>IFERROR(VLOOKUP($K19,Tabla1[[NOMBRE]:[CODIGO2]],4,0),"")</f>
        <v/>
      </c>
      <c r="K19" s="26" t="n"/>
      <c r="L19" s="93">
        <f>SUMIF($O$11:$AB$11,"Area Lote",$O19:$AB19)</f>
        <v/>
      </c>
      <c r="M19" s="94" t="n"/>
      <c r="N19" s="94" t="n"/>
      <c r="O19" s="100" t="n"/>
      <c r="P19" s="101" t="n"/>
      <c r="Q19" s="102" t="n"/>
      <c r="R19" s="102" t="n"/>
      <c r="S19" s="100" t="n"/>
      <c r="T19" s="101" t="n"/>
      <c r="U19" s="102" t="n"/>
      <c r="V19" s="102" t="n"/>
      <c r="W19" s="100" t="n"/>
      <c r="X19" s="101" t="n"/>
      <c r="Y19" s="102" t="n"/>
      <c r="Z19" s="102" t="n"/>
      <c r="AA19" s="100" t="n"/>
      <c r="AB19" s="101" t="n"/>
      <c r="AC19" s="85" t="n"/>
      <c r="AD19" s="85" t="n"/>
      <c r="AE19" s="85" t="n"/>
      <c r="AF19" s="85" t="n"/>
      <c r="AG19" s="85" t="n"/>
      <c r="AH19" s="85" t="n"/>
      <c r="AI19" s="85" t="n"/>
      <c r="AJ19" s="85" t="n"/>
      <c r="AK19" s="85" t="n"/>
      <c r="AL19" s="85" t="n"/>
      <c r="AM19" s="85" t="n"/>
      <c r="AN19" s="85" t="n"/>
      <c r="AO19" s="85" t="n"/>
      <c r="AP19" s="85" t="n"/>
      <c r="AQ19" s="85" t="n"/>
      <c r="AR19" s="85" t="n"/>
      <c r="AS19" s="85" t="n"/>
      <c r="AT19" s="86" t="n"/>
      <c r="AU19" s="57" t="n"/>
      <c r="AV19" s="87" t="n"/>
      <c r="AW19" s="88">
        <f>IF(J19&lt;&gt;" ",VLOOKUP(J19,lista_labores,4,FALSE),"  ")</f>
        <v/>
      </c>
      <c r="AX19" s="88">
        <f>+AW19*L19</f>
        <v/>
      </c>
      <c r="AY19" s="103" t="n"/>
      <c r="BF19" s="134" t="n"/>
    </row>
    <row r="20" ht="13" customHeight="1">
      <c r="B20" s="89" t="n"/>
      <c r="C20" s="90">
        <f>IFERROR(VLOOKUP(D20,lista_trabajadores!B:E,4,FALSE),"")</f>
        <v/>
      </c>
      <c r="D20" s="144" t="n"/>
      <c r="E20" s="198" t="n"/>
      <c r="F20" s="199" t="n"/>
      <c r="G20" s="91" t="n"/>
      <c r="H20" s="96" t="n"/>
      <c r="I20" s="92" t="n"/>
      <c r="J20" s="90">
        <f>IFERROR(VLOOKUP($K20,Tabla1[[NOMBRE]:[CODIGO2]],4,0),"")</f>
        <v/>
      </c>
      <c r="K20" s="26" t="n"/>
      <c r="L20" s="93">
        <f>SUMIF($O$11:$AB$11,"Area Lote",$O20:$AB20)</f>
        <v/>
      </c>
      <c r="M20" s="94" t="n"/>
      <c r="N20" s="94" t="n"/>
      <c r="O20" s="100" t="n"/>
      <c r="P20" s="101" t="n"/>
      <c r="Q20" s="102" t="n"/>
      <c r="R20" s="102" t="n"/>
      <c r="S20" s="100" t="n"/>
      <c r="T20" s="101" t="n"/>
      <c r="U20" s="102" t="n"/>
      <c r="V20" s="102" t="n"/>
      <c r="W20" s="100" t="n"/>
      <c r="X20" s="101" t="n"/>
      <c r="Y20" s="102" t="n"/>
      <c r="Z20" s="102" t="n"/>
      <c r="AA20" s="100" t="n"/>
      <c r="AB20" s="101" t="n"/>
      <c r="AC20" s="85" t="n"/>
      <c r="AD20" s="85" t="n"/>
      <c r="AE20" s="85" t="n"/>
      <c r="AF20" s="85" t="n"/>
      <c r="AG20" s="85" t="n"/>
      <c r="AH20" s="85" t="n"/>
      <c r="AI20" s="85" t="n"/>
      <c r="AJ20" s="85" t="n"/>
      <c r="AK20" s="85" t="n"/>
      <c r="AL20" s="85" t="n"/>
      <c r="AM20" s="85" t="n"/>
      <c r="AN20" s="85" t="n"/>
      <c r="AO20" s="85" t="n"/>
      <c r="AP20" s="85" t="n"/>
      <c r="AQ20" s="85" t="n"/>
      <c r="AR20" s="85" t="n"/>
      <c r="AS20" s="85" t="n"/>
      <c r="AT20" s="86" t="n"/>
      <c r="AU20" s="57" t="n"/>
      <c r="AV20" s="87" t="n"/>
      <c r="AW20" s="88">
        <f>IF(J20&lt;&gt;" ",VLOOKUP(J20,lista_labores,4,FALSE),"  ")</f>
        <v/>
      </c>
      <c r="AX20" s="88">
        <f>+AW20*L20</f>
        <v/>
      </c>
      <c r="AY20" s="103" t="n"/>
      <c r="BF20" s="134" t="n"/>
    </row>
    <row r="21" ht="13" customHeight="1">
      <c r="B21" s="89" t="n"/>
      <c r="C21" s="90">
        <f>IFERROR(VLOOKUP(D21,lista_trabajadores!B:E,4,FALSE),"")</f>
        <v/>
      </c>
      <c r="D21" s="144" t="n"/>
      <c r="E21" s="198" t="n"/>
      <c r="F21" s="199" t="n"/>
      <c r="G21" s="91" t="n"/>
      <c r="H21" s="96" t="n"/>
      <c r="I21" s="92" t="n"/>
      <c r="J21" s="90">
        <f>IFERROR(VLOOKUP($K21,Tabla1[[NOMBRE]:[CODIGO2]],4,0),"")</f>
        <v/>
      </c>
      <c r="K21" s="26" t="n"/>
      <c r="L21" s="93">
        <f>SUMIF($O$11:$AB$11,"Area Lote",$O21:$AB21)</f>
        <v/>
      </c>
      <c r="M21" s="94" t="n"/>
      <c r="N21" s="94" t="n"/>
      <c r="O21" s="100" t="n"/>
      <c r="P21" s="101" t="n"/>
      <c r="Q21" s="102" t="n"/>
      <c r="R21" s="102" t="n"/>
      <c r="S21" s="100" t="n"/>
      <c r="T21" s="101" t="n"/>
      <c r="U21" s="102" t="n"/>
      <c r="V21" s="102" t="n"/>
      <c r="W21" s="100" t="n"/>
      <c r="X21" s="101" t="n"/>
      <c r="Y21" s="102" t="n"/>
      <c r="Z21" s="102" t="n"/>
      <c r="AA21" s="100" t="n"/>
      <c r="AB21" s="101" t="n"/>
      <c r="AC21" s="85" t="n"/>
      <c r="AD21" s="85" t="n"/>
      <c r="AE21" s="85" t="n"/>
      <c r="AF21" s="85" t="n"/>
      <c r="AG21" s="85" t="n"/>
      <c r="AH21" s="85" t="n"/>
      <c r="AI21" s="85" t="n"/>
      <c r="AJ21" s="85" t="n"/>
      <c r="AK21" s="85" t="n"/>
      <c r="AL21" s="85" t="n"/>
      <c r="AM21" s="85" t="n"/>
      <c r="AN21" s="85" t="n"/>
      <c r="AO21" s="85" t="n"/>
      <c r="AP21" s="85" t="n"/>
      <c r="AQ21" s="85" t="n"/>
      <c r="AR21" s="85" t="n"/>
      <c r="AS21" s="85" t="n"/>
      <c r="AT21" s="86" t="n"/>
      <c r="AU21" s="57" t="n"/>
      <c r="AV21" s="87" t="n"/>
      <c r="AW21" s="88">
        <f>IF(J21&lt;&gt;" ",VLOOKUP(J21,lista_labores,4,FALSE),"  ")</f>
        <v/>
      </c>
      <c r="AX21" s="88">
        <f>+AW21*L21</f>
        <v/>
      </c>
      <c r="AY21" s="103" t="n"/>
      <c r="BF21" s="134" t="n"/>
    </row>
    <row r="22" ht="13" customHeight="1">
      <c r="B22" s="89" t="n"/>
      <c r="C22" s="90">
        <f>IFERROR(VLOOKUP(D22,lista_trabajadores!B:E,4,FALSE),"")</f>
        <v/>
      </c>
      <c r="D22" s="144" t="n"/>
      <c r="E22" s="198" t="n"/>
      <c r="F22" s="199" t="n"/>
      <c r="G22" s="91" t="n"/>
      <c r="H22" s="96" t="n"/>
      <c r="I22" s="92" t="n"/>
      <c r="J22" s="90">
        <f>IFERROR(VLOOKUP($K22,Tabla1[[NOMBRE]:[CODIGO2]],4,0),"")</f>
        <v/>
      </c>
      <c r="K22" s="26" t="n"/>
      <c r="L22" s="93">
        <f>SUMIF($O$11:$AB$11,"Area Lote",$O22:$AB22)</f>
        <v/>
      </c>
      <c r="M22" s="94" t="n"/>
      <c r="N22" s="94" t="n"/>
      <c r="O22" s="100" t="n"/>
      <c r="P22" s="101" t="n"/>
      <c r="Q22" s="102" t="n"/>
      <c r="R22" s="102" t="n"/>
      <c r="S22" s="100" t="n"/>
      <c r="T22" s="101" t="n"/>
      <c r="U22" s="102" t="n"/>
      <c r="V22" s="102" t="n"/>
      <c r="W22" s="100" t="n"/>
      <c r="X22" s="101" t="n"/>
      <c r="Y22" s="102" t="n"/>
      <c r="Z22" s="102" t="n"/>
      <c r="AA22" s="100" t="n"/>
      <c r="AB22" s="101" t="n"/>
      <c r="AC22" s="85" t="n"/>
      <c r="AD22" s="85" t="n"/>
      <c r="AE22" s="85" t="n"/>
      <c r="AF22" s="85" t="n"/>
      <c r="AG22" s="85" t="n"/>
      <c r="AH22" s="85" t="n"/>
      <c r="AI22" s="85" t="n"/>
      <c r="AJ22" s="85" t="n"/>
      <c r="AK22" s="85" t="n"/>
      <c r="AL22" s="85" t="n"/>
      <c r="AM22" s="85" t="n"/>
      <c r="AN22" s="85" t="n"/>
      <c r="AO22" s="85" t="n"/>
      <c r="AP22" s="85" t="n"/>
      <c r="AQ22" s="85" t="n"/>
      <c r="AR22" s="85" t="n"/>
      <c r="AS22" s="85" t="n"/>
      <c r="AT22" s="86" t="n"/>
      <c r="AU22" s="57" t="n"/>
      <c r="AV22" s="87" t="n"/>
      <c r="AW22" s="88">
        <f>IF(J22&lt;&gt;" ",VLOOKUP(J22,lista_labores,4,FALSE),"  ")</f>
        <v/>
      </c>
      <c r="AX22" s="88">
        <f>+AW22*L22</f>
        <v/>
      </c>
      <c r="AY22" s="103" t="n"/>
      <c r="BF22" s="134" t="n"/>
    </row>
    <row r="23" ht="13" customHeight="1">
      <c r="B23" s="89" t="n"/>
      <c r="C23" s="90">
        <f>IFERROR(VLOOKUP(D23,lista_trabajadores!B:E,4,FALSE),"")</f>
        <v/>
      </c>
      <c r="D23" s="144" t="n"/>
      <c r="E23" s="198" t="n"/>
      <c r="F23" s="199" t="n"/>
      <c r="G23" s="91" t="n"/>
      <c r="H23" s="96" t="n"/>
      <c r="I23" s="92" t="n"/>
      <c r="J23" s="90">
        <f>IFERROR(VLOOKUP($K23,Tabla1[[NOMBRE]:[CODIGO2]],4,0),"")</f>
        <v/>
      </c>
      <c r="K23" s="26" t="n"/>
      <c r="L23" s="93">
        <f>SUMIF($O$11:$AB$11,"Area Lote",$O23:$AB23)</f>
        <v/>
      </c>
      <c r="M23" s="94" t="n"/>
      <c r="N23" s="94" t="n"/>
      <c r="O23" s="100" t="n"/>
      <c r="P23" s="101" t="n"/>
      <c r="Q23" s="102" t="n"/>
      <c r="R23" s="102" t="n"/>
      <c r="S23" s="100" t="n"/>
      <c r="T23" s="101" t="n"/>
      <c r="U23" s="102" t="n"/>
      <c r="V23" s="102" t="n"/>
      <c r="W23" s="100" t="n"/>
      <c r="X23" s="101" t="n"/>
      <c r="Y23" s="102" t="n"/>
      <c r="Z23" s="102" t="n"/>
      <c r="AA23" s="100" t="n"/>
      <c r="AB23" s="101" t="n"/>
      <c r="AC23" s="85" t="n"/>
      <c r="AD23" s="85" t="n"/>
      <c r="AE23" s="85" t="n"/>
      <c r="AF23" s="85" t="n"/>
      <c r="AG23" s="85" t="n"/>
      <c r="AH23" s="85" t="n"/>
      <c r="AI23" s="85" t="n"/>
      <c r="AJ23" s="85" t="n"/>
      <c r="AK23" s="85" t="n"/>
      <c r="AL23" s="85" t="n"/>
      <c r="AM23" s="85" t="n"/>
      <c r="AN23" s="85" t="n"/>
      <c r="AO23" s="85" t="n"/>
      <c r="AP23" s="85" t="n"/>
      <c r="AQ23" s="85" t="n"/>
      <c r="AR23" s="85" t="n"/>
      <c r="AS23" s="85" t="n"/>
      <c r="AT23" s="86" t="n"/>
      <c r="AU23" s="57" t="n"/>
      <c r="AV23" s="87" t="n"/>
      <c r="AW23" s="88">
        <f>IF(J23&lt;&gt;" ",VLOOKUP(J23,lista_labores,4,FALSE),"  ")</f>
        <v/>
      </c>
      <c r="AX23" s="88">
        <f>+AW23*L23</f>
        <v/>
      </c>
      <c r="AY23" s="103" t="n"/>
      <c r="BF23" s="134" t="n"/>
    </row>
    <row r="24" ht="13" customHeight="1">
      <c r="B24" s="89" t="n"/>
      <c r="C24" s="90">
        <f>IFERROR(VLOOKUP(D24,lista_trabajadores!B:E,4,FALSE),"")</f>
        <v/>
      </c>
      <c r="D24" s="144" t="n"/>
      <c r="E24" s="198" t="n"/>
      <c r="F24" s="199" t="n"/>
      <c r="G24" s="91" t="n"/>
      <c r="H24" s="96" t="n"/>
      <c r="I24" s="92" t="n"/>
      <c r="J24" s="90">
        <f>IFERROR(VLOOKUP($K24,Tabla1[[NOMBRE]:[CODIGO2]],4,0),"")</f>
        <v/>
      </c>
      <c r="K24" s="26" t="n"/>
      <c r="L24" s="93">
        <f>SUMIF($O$11:$AB$11,"Area Lote",$O24:$AB24)</f>
        <v/>
      </c>
      <c r="M24" s="94" t="n"/>
      <c r="N24" s="94" t="n"/>
      <c r="O24" s="100" t="n"/>
      <c r="P24" s="101" t="n"/>
      <c r="Q24" s="102" t="n"/>
      <c r="R24" s="102" t="n"/>
      <c r="S24" s="100" t="n"/>
      <c r="T24" s="101" t="n"/>
      <c r="U24" s="102" t="n"/>
      <c r="V24" s="102" t="n"/>
      <c r="W24" s="100" t="n"/>
      <c r="X24" s="101" t="n"/>
      <c r="Y24" s="102" t="n"/>
      <c r="Z24" s="102" t="n"/>
      <c r="AA24" s="100" t="n"/>
      <c r="AB24" s="101" t="n"/>
      <c r="AC24" s="85" t="n"/>
      <c r="AD24" s="85" t="n"/>
      <c r="AE24" s="85" t="n"/>
      <c r="AF24" s="85" t="n"/>
      <c r="AG24" s="85" t="n"/>
      <c r="AH24" s="85" t="n"/>
      <c r="AI24" s="85" t="n"/>
      <c r="AJ24" s="85" t="n"/>
      <c r="AK24" s="85" t="n"/>
      <c r="AL24" s="85" t="n"/>
      <c r="AM24" s="85" t="n"/>
      <c r="AN24" s="85" t="n"/>
      <c r="AO24" s="85" t="n"/>
      <c r="AP24" s="85" t="n"/>
      <c r="AQ24" s="85" t="n"/>
      <c r="AR24" s="85" t="n"/>
      <c r="AS24" s="85" t="n"/>
      <c r="AT24" s="86" t="n"/>
      <c r="AU24" s="57" t="n"/>
      <c r="AV24" s="87" t="n"/>
      <c r="AW24" s="88">
        <f>IF(J24&lt;&gt;" ",VLOOKUP(J24,lista_labores,4,FALSE),"  ")</f>
        <v/>
      </c>
      <c r="AX24" s="88">
        <f>+AW24*L24</f>
        <v/>
      </c>
      <c r="AY24" s="103" t="n"/>
      <c r="BF24" s="134" t="n"/>
    </row>
    <row r="25" ht="13" customHeight="1">
      <c r="B25" s="89" t="n"/>
      <c r="C25" s="90">
        <f>IFERROR(VLOOKUP(D25,lista_trabajadores!B:E,4,FALSE),"")</f>
        <v/>
      </c>
      <c r="D25" s="144" t="n"/>
      <c r="E25" s="198" t="n"/>
      <c r="F25" s="199" t="n"/>
      <c r="G25" s="91" t="n"/>
      <c r="H25" s="96" t="n"/>
      <c r="I25" s="92" t="n"/>
      <c r="J25" s="90">
        <f>IFERROR(VLOOKUP($K25,Tabla1[[NOMBRE]:[CODIGO2]],4,0),"")</f>
        <v/>
      </c>
      <c r="K25" s="27" t="n"/>
      <c r="L25" s="93">
        <f>SUMIF($O$11:$AB$11,"Area Lote",$O25:$AB25)</f>
        <v/>
      </c>
      <c r="M25" s="94" t="n"/>
      <c r="N25" s="94" t="n"/>
      <c r="O25" s="100" t="n"/>
      <c r="P25" s="101" t="n"/>
      <c r="Q25" s="102" t="n"/>
      <c r="R25" s="102" t="n"/>
      <c r="S25" s="100" t="n"/>
      <c r="T25" s="101" t="n"/>
      <c r="U25" s="102" t="n"/>
      <c r="V25" s="102" t="n"/>
      <c r="W25" s="100" t="n"/>
      <c r="X25" s="101" t="n"/>
      <c r="Y25" s="102" t="n"/>
      <c r="Z25" s="102" t="n"/>
      <c r="AA25" s="100" t="n"/>
      <c r="AB25" s="101" t="n"/>
      <c r="AC25" s="85" t="n"/>
      <c r="AD25" s="85" t="n"/>
      <c r="AE25" s="85" t="n"/>
      <c r="AF25" s="85" t="n"/>
      <c r="AG25" s="85" t="n"/>
      <c r="AH25" s="85" t="n"/>
      <c r="AI25" s="85" t="n"/>
      <c r="AJ25" s="85" t="n"/>
      <c r="AK25" s="85" t="n"/>
      <c r="AL25" s="85" t="n"/>
      <c r="AM25" s="85" t="n"/>
      <c r="AN25" s="85" t="n"/>
      <c r="AO25" s="85" t="n"/>
      <c r="AP25" s="85" t="n"/>
      <c r="AQ25" s="85" t="n"/>
      <c r="AR25" s="85" t="n"/>
      <c r="AS25" s="85" t="n"/>
      <c r="AT25" s="86" t="n"/>
      <c r="AU25" s="57" t="n"/>
      <c r="AV25" s="87" t="n"/>
      <c r="AW25" s="88">
        <f>IF(J25&lt;&gt;" ",VLOOKUP(J25,lista_labores,4,FALSE),"  ")</f>
        <v/>
      </c>
      <c r="AX25" s="88">
        <f>+AW25*L25</f>
        <v/>
      </c>
      <c r="AY25" s="103" t="n"/>
      <c r="BF25" s="134" t="n"/>
    </row>
    <row r="26" ht="13" customHeight="1">
      <c r="B26" s="89" t="n"/>
      <c r="C26" s="90">
        <f>IFERROR(VLOOKUP(D26,lista_trabajadores!B:E,4,FALSE),"")</f>
        <v/>
      </c>
      <c r="D26" s="144" t="n"/>
      <c r="E26" s="198" t="n"/>
      <c r="F26" s="199" t="n"/>
      <c r="G26" s="91" t="n"/>
      <c r="H26" s="96" t="n"/>
      <c r="I26" s="92" t="n"/>
      <c r="J26" s="90">
        <f>IFERROR(VLOOKUP($K26,Tabla1[[NOMBRE]:[CODIGO2]],4,0),"")</f>
        <v/>
      </c>
      <c r="K26" s="27" t="n"/>
      <c r="L26" s="93">
        <f>SUMIF($O$11:$AB$11,"Area Lote",$O26:$AB26)</f>
        <v/>
      </c>
      <c r="M26" s="94" t="n"/>
      <c r="N26" s="94" t="n"/>
      <c r="O26" s="100" t="n"/>
      <c r="P26" s="101" t="n"/>
      <c r="Q26" s="102" t="n"/>
      <c r="R26" s="102" t="n"/>
      <c r="S26" s="100" t="n"/>
      <c r="T26" s="101" t="n"/>
      <c r="U26" s="102" t="n"/>
      <c r="V26" s="102" t="n"/>
      <c r="W26" s="100" t="n"/>
      <c r="X26" s="101" t="n"/>
      <c r="Y26" s="102" t="n"/>
      <c r="Z26" s="102" t="n"/>
      <c r="AA26" s="100" t="n"/>
      <c r="AB26" s="101" t="n"/>
      <c r="AC26" s="85" t="n"/>
      <c r="AD26" s="85" t="n"/>
      <c r="AE26" s="85" t="n"/>
      <c r="AF26" s="85" t="n"/>
      <c r="AG26" s="85" t="n"/>
      <c r="AH26" s="85" t="n"/>
      <c r="AI26" s="85" t="n"/>
      <c r="AJ26" s="85" t="n"/>
      <c r="AK26" s="85" t="n"/>
      <c r="AL26" s="85" t="n"/>
      <c r="AM26" s="85" t="n"/>
      <c r="AN26" s="85" t="n"/>
      <c r="AO26" s="85" t="n"/>
      <c r="AP26" s="85" t="n"/>
      <c r="AQ26" s="85" t="n"/>
      <c r="AR26" s="85" t="n"/>
      <c r="AS26" s="85" t="n"/>
      <c r="AT26" s="86" t="n"/>
      <c r="AU26" s="57" t="n"/>
      <c r="AV26" s="87" t="n"/>
      <c r="AW26" s="88">
        <f>IF(J26&lt;&gt;" ",VLOOKUP(J26,lista_labores,4,FALSE),"  ")</f>
        <v/>
      </c>
      <c r="AX26" s="88">
        <f>+AW26*L26</f>
        <v/>
      </c>
      <c r="AY26" s="103" t="n"/>
      <c r="BF26" s="134" t="n"/>
    </row>
    <row r="27" ht="13" customHeight="1">
      <c r="B27" s="89" t="n"/>
      <c r="C27" s="90">
        <f>IFERROR(VLOOKUP(D27,lista_trabajadores!B:E,4,FALSE),"")</f>
        <v/>
      </c>
      <c r="D27" s="144" t="n"/>
      <c r="E27" s="198" t="n"/>
      <c r="F27" s="199" t="n"/>
      <c r="G27" s="91" t="n"/>
      <c r="H27" s="96" t="n"/>
      <c r="I27" s="92" t="n"/>
      <c r="J27" s="90">
        <f>IFERROR(VLOOKUP($K27,Tabla1[[NOMBRE]:[CODIGO2]],4,0),"")</f>
        <v/>
      </c>
      <c r="K27" s="27" t="n"/>
      <c r="L27" s="93">
        <f>SUMIF($O$11:$AB$11,"Area Lote",$O27:$AB27)</f>
        <v/>
      </c>
      <c r="M27" s="94" t="n"/>
      <c r="N27" s="94" t="n"/>
      <c r="O27" s="100" t="n"/>
      <c r="P27" s="101" t="n"/>
      <c r="Q27" s="102" t="n"/>
      <c r="R27" s="102" t="n"/>
      <c r="S27" s="100" t="n"/>
      <c r="T27" s="101" t="n"/>
      <c r="U27" s="102" t="n"/>
      <c r="V27" s="102" t="n"/>
      <c r="W27" s="100" t="n"/>
      <c r="X27" s="101" t="n"/>
      <c r="Y27" s="102" t="n"/>
      <c r="Z27" s="102" t="n"/>
      <c r="AA27" s="100" t="n"/>
      <c r="AB27" s="101" t="n"/>
      <c r="AC27" s="85" t="n"/>
      <c r="AD27" s="85" t="n"/>
      <c r="AE27" s="85" t="n"/>
      <c r="AF27" s="85" t="n"/>
      <c r="AG27" s="85" t="n"/>
      <c r="AH27" s="85" t="n"/>
      <c r="AI27" s="85" t="n"/>
      <c r="AJ27" s="85" t="n"/>
      <c r="AK27" s="85" t="n"/>
      <c r="AL27" s="85" t="n"/>
      <c r="AM27" s="85" t="n"/>
      <c r="AN27" s="85" t="n"/>
      <c r="AO27" s="85" t="n"/>
      <c r="AP27" s="85" t="n"/>
      <c r="AQ27" s="85" t="n"/>
      <c r="AR27" s="85" t="n"/>
      <c r="AS27" s="85" t="n"/>
      <c r="AT27" s="86" t="n"/>
      <c r="AU27" s="57" t="n"/>
      <c r="AV27" s="87" t="n"/>
      <c r="AW27" s="88">
        <f>IF(J27&lt;&gt;" ",VLOOKUP(J27,lista_labores,4,FALSE),"  ")</f>
        <v/>
      </c>
      <c r="AX27" s="88">
        <f>+AW27*L27</f>
        <v/>
      </c>
      <c r="AY27" s="103" t="n"/>
      <c r="BF27" s="134" t="n"/>
    </row>
    <row r="28" ht="13" customHeight="1">
      <c r="B28" s="89" t="n"/>
      <c r="C28" s="90">
        <f>IFERROR(VLOOKUP(D28,lista_trabajadores!B:E,4,FALSE),"")</f>
        <v/>
      </c>
      <c r="D28" s="144" t="n"/>
      <c r="E28" s="198" t="n"/>
      <c r="F28" s="199" t="n"/>
      <c r="G28" s="91" t="n"/>
      <c r="H28" s="96" t="n"/>
      <c r="I28" s="92" t="n"/>
      <c r="J28" s="90">
        <f>IFERROR(VLOOKUP($K28,Tabla1[[NOMBRE]:[CODIGO2]],4,0),"")</f>
        <v/>
      </c>
      <c r="K28" s="27" t="n"/>
      <c r="L28" s="93">
        <f>SUMIF($O$11:$AB$11,"Area Lote",$O28:$AB28)</f>
        <v/>
      </c>
      <c r="M28" s="94" t="n"/>
      <c r="N28" s="94" t="n"/>
      <c r="O28" s="100" t="n"/>
      <c r="P28" s="101" t="n"/>
      <c r="Q28" s="102" t="n"/>
      <c r="R28" s="102" t="n"/>
      <c r="S28" s="100" t="n"/>
      <c r="T28" s="101" t="n"/>
      <c r="U28" s="102" t="n"/>
      <c r="V28" s="102" t="n"/>
      <c r="W28" s="100" t="n"/>
      <c r="X28" s="101" t="n"/>
      <c r="Y28" s="102" t="n"/>
      <c r="Z28" s="102" t="n"/>
      <c r="AA28" s="100" t="n"/>
      <c r="AB28" s="101" t="n"/>
      <c r="AC28" s="85" t="n"/>
      <c r="AD28" s="85" t="n"/>
      <c r="AE28" s="85" t="n"/>
      <c r="AF28" s="85" t="n"/>
      <c r="AG28" s="85" t="n"/>
      <c r="AH28" s="85" t="n"/>
      <c r="AI28" s="85" t="n"/>
      <c r="AJ28" s="85" t="n"/>
      <c r="AK28" s="85" t="n"/>
      <c r="AL28" s="85" t="n"/>
      <c r="AM28" s="85" t="n"/>
      <c r="AN28" s="85" t="n"/>
      <c r="AO28" s="85" t="n"/>
      <c r="AP28" s="85" t="n"/>
      <c r="AQ28" s="85" t="n"/>
      <c r="AR28" s="85" t="n"/>
      <c r="AS28" s="85" t="n"/>
      <c r="AT28" s="86" t="n"/>
      <c r="AU28" s="57" t="n"/>
      <c r="AV28" s="87" t="n"/>
      <c r="AW28" s="88">
        <f>IF(J28&lt;&gt;" ",VLOOKUP(J28,lista_labores,4,FALSE),"  ")</f>
        <v/>
      </c>
      <c r="AX28" s="88">
        <f>+AW28*L28</f>
        <v/>
      </c>
      <c r="AY28" s="103" t="n"/>
      <c r="BF28" s="134" t="n"/>
    </row>
    <row r="29" ht="13" customHeight="1">
      <c r="B29" s="89" t="n"/>
      <c r="C29" s="90">
        <f>IFERROR(VLOOKUP(D29,lista_trabajadores!B:E,4,FALSE),"")</f>
        <v/>
      </c>
      <c r="D29" s="144" t="n"/>
      <c r="E29" s="198" t="n"/>
      <c r="F29" s="199" t="n"/>
      <c r="G29" s="91" t="n"/>
      <c r="H29" s="96" t="n"/>
      <c r="I29" s="92" t="n"/>
      <c r="J29" s="90">
        <f>IFERROR(VLOOKUP($K29,Tabla1[[NOMBRE]:[CODIGO2]],4,0),"")</f>
        <v/>
      </c>
      <c r="K29" s="27" t="n"/>
      <c r="L29" s="93">
        <f>SUMIF($O$11:$AB$11,"Area Lote",$O29:$AB29)</f>
        <v/>
      </c>
      <c r="M29" s="94" t="n"/>
      <c r="N29" s="94" t="n"/>
      <c r="O29" s="100" t="n"/>
      <c r="P29" s="101" t="n"/>
      <c r="Q29" s="102" t="n"/>
      <c r="R29" s="102" t="n"/>
      <c r="S29" s="100" t="n"/>
      <c r="T29" s="101" t="n"/>
      <c r="U29" s="102" t="n"/>
      <c r="V29" s="102" t="n"/>
      <c r="W29" s="100" t="n"/>
      <c r="X29" s="101" t="n"/>
      <c r="Y29" s="102" t="n"/>
      <c r="Z29" s="102" t="n"/>
      <c r="AA29" s="100" t="n"/>
      <c r="AB29" s="101" t="n"/>
      <c r="AC29" s="85" t="n"/>
      <c r="AD29" s="85" t="n"/>
      <c r="AE29" s="85" t="n"/>
      <c r="AF29" s="85" t="n"/>
      <c r="AG29" s="85" t="n"/>
      <c r="AH29" s="85" t="n"/>
      <c r="AI29" s="85" t="n"/>
      <c r="AJ29" s="85" t="n"/>
      <c r="AK29" s="85" t="n"/>
      <c r="AL29" s="85" t="n"/>
      <c r="AM29" s="85" t="n"/>
      <c r="AN29" s="85" t="n"/>
      <c r="AO29" s="85" t="n"/>
      <c r="AP29" s="85" t="n"/>
      <c r="AQ29" s="85" t="n"/>
      <c r="AR29" s="85" t="n"/>
      <c r="AS29" s="85" t="n"/>
      <c r="AT29" s="86" t="n"/>
      <c r="AU29" s="57" t="n"/>
      <c r="AV29" s="87" t="n"/>
      <c r="AW29" s="88">
        <f>IF(J29&lt;&gt;" ",VLOOKUP(J29,lista_labores,4,FALSE),"  ")</f>
        <v/>
      </c>
      <c r="AX29" s="88">
        <f>+AW29*L29</f>
        <v/>
      </c>
      <c r="AY29" s="103" t="n"/>
      <c r="BF29" s="134" t="n"/>
    </row>
    <row r="30" ht="13" customHeight="1">
      <c r="B30" s="89" t="n"/>
      <c r="C30" s="90">
        <f>IFERROR(VLOOKUP(D30,lista_trabajadores!B:E,4,FALSE),"")</f>
        <v/>
      </c>
      <c r="D30" s="144" t="n"/>
      <c r="E30" s="198" t="n"/>
      <c r="F30" s="199" t="n"/>
      <c r="G30" s="91" t="n"/>
      <c r="H30" s="96" t="n"/>
      <c r="I30" s="92" t="n"/>
      <c r="J30" s="90">
        <f>IFERROR(VLOOKUP($K30,Tabla1[[NOMBRE]:[CODIGO2]],4,0),"")</f>
        <v/>
      </c>
      <c r="K30" s="27" t="n"/>
      <c r="L30" s="93">
        <f>SUMIF($O$11:$AB$11,"Area Lote",$O30:$AB30)</f>
        <v/>
      </c>
      <c r="M30" s="94" t="n"/>
      <c r="N30" s="94" t="n"/>
      <c r="O30" s="100" t="n"/>
      <c r="P30" s="101" t="n"/>
      <c r="Q30" s="102" t="n"/>
      <c r="R30" s="102" t="n"/>
      <c r="S30" s="100" t="n"/>
      <c r="T30" s="101" t="n"/>
      <c r="U30" s="102" t="n"/>
      <c r="V30" s="102" t="n"/>
      <c r="W30" s="100" t="n"/>
      <c r="X30" s="101" t="n"/>
      <c r="Y30" s="102" t="n"/>
      <c r="Z30" s="102" t="n"/>
      <c r="AA30" s="100" t="n"/>
      <c r="AB30" s="101" t="n"/>
      <c r="AC30" s="85" t="n"/>
      <c r="AD30" s="85" t="n"/>
      <c r="AE30" s="85" t="n"/>
      <c r="AF30" s="85" t="n"/>
      <c r="AG30" s="85" t="n"/>
      <c r="AH30" s="85" t="n"/>
      <c r="AI30" s="85" t="n"/>
      <c r="AJ30" s="85" t="n"/>
      <c r="AK30" s="85" t="n"/>
      <c r="AL30" s="85" t="n"/>
      <c r="AM30" s="85" t="n"/>
      <c r="AN30" s="85" t="n"/>
      <c r="AO30" s="85" t="n"/>
      <c r="AP30" s="85" t="n"/>
      <c r="AQ30" s="85" t="n"/>
      <c r="AR30" s="85" t="n"/>
      <c r="AS30" s="85" t="n"/>
      <c r="AT30" s="86" t="n"/>
      <c r="AU30" s="57" t="n"/>
      <c r="AV30" s="87" t="n"/>
      <c r="AW30" s="88">
        <f>IF(J30&lt;&gt;" ",VLOOKUP(J30,lista_labores,4,FALSE),"  ")</f>
        <v/>
      </c>
      <c r="AX30" s="88">
        <f>+AW30*L30</f>
        <v/>
      </c>
      <c r="AY30" s="103" t="n"/>
      <c r="BF30" s="134" t="n"/>
    </row>
    <row r="31" ht="13" customHeight="1">
      <c r="B31" s="89" t="n"/>
      <c r="C31" s="90">
        <f>IFERROR(VLOOKUP(D31,lista_trabajadores!B:E,4,FALSE),"")</f>
        <v/>
      </c>
      <c r="D31" s="144" t="n"/>
      <c r="E31" s="198" t="n"/>
      <c r="F31" s="199" t="n"/>
      <c r="G31" s="91" t="n"/>
      <c r="H31" s="96" t="n"/>
      <c r="I31" s="92" t="n"/>
      <c r="J31" s="90">
        <f>IFERROR(VLOOKUP($K31,Tabla1[[NOMBRE]:[CODIGO2]],4,0),"")</f>
        <v/>
      </c>
      <c r="K31" s="27" t="n"/>
      <c r="L31" s="93">
        <f>SUMIF($O$11:$AB$11,"Area Lote",$O31:$AB31)</f>
        <v/>
      </c>
      <c r="M31" s="94" t="n"/>
      <c r="N31" s="94" t="n"/>
      <c r="O31" s="100" t="n"/>
      <c r="P31" s="101" t="n"/>
      <c r="Q31" s="102" t="n"/>
      <c r="R31" s="102" t="n"/>
      <c r="S31" s="100" t="n"/>
      <c r="T31" s="101" t="n"/>
      <c r="U31" s="102" t="n"/>
      <c r="V31" s="102" t="n"/>
      <c r="W31" s="100" t="n"/>
      <c r="X31" s="101" t="n"/>
      <c r="Y31" s="102" t="n"/>
      <c r="Z31" s="102" t="n"/>
      <c r="AA31" s="100" t="n"/>
      <c r="AB31" s="101" t="n"/>
      <c r="AC31" s="85" t="n"/>
      <c r="AD31" s="85" t="n"/>
      <c r="AE31" s="85" t="n"/>
      <c r="AF31" s="85" t="n"/>
      <c r="AG31" s="85" t="n"/>
      <c r="AH31" s="85" t="n"/>
      <c r="AI31" s="85" t="n"/>
      <c r="AJ31" s="85" t="n"/>
      <c r="AK31" s="85" t="n"/>
      <c r="AL31" s="85" t="n"/>
      <c r="AM31" s="85" t="n"/>
      <c r="AN31" s="85" t="n"/>
      <c r="AO31" s="85" t="n"/>
      <c r="AP31" s="85" t="n"/>
      <c r="AQ31" s="85" t="n"/>
      <c r="AR31" s="85" t="n"/>
      <c r="AS31" s="85" t="n"/>
      <c r="AT31" s="86" t="n"/>
      <c r="AU31" s="57" t="n"/>
      <c r="AV31" s="87" t="n"/>
      <c r="AW31" s="88">
        <f>IF(J31&lt;&gt;" ",VLOOKUP(J31,lista_labores,4,FALSE),"  ")</f>
        <v/>
      </c>
      <c r="AX31" s="88">
        <f>+AW31*L31</f>
        <v/>
      </c>
      <c r="AY31" s="103" t="n"/>
      <c r="BF31" s="134" t="n"/>
    </row>
    <row r="32" ht="13" customHeight="1">
      <c r="B32" s="89" t="n"/>
      <c r="C32" s="90">
        <f>IFERROR(VLOOKUP(D32,lista_trabajadores!B:E,4,FALSE),"")</f>
        <v/>
      </c>
      <c r="D32" s="144" t="n"/>
      <c r="E32" s="198" t="n"/>
      <c r="F32" s="199" t="n"/>
      <c r="G32" s="91" t="n"/>
      <c r="H32" s="96" t="n"/>
      <c r="I32" s="92" t="n"/>
      <c r="J32" s="90">
        <f>IFERROR(VLOOKUP($K32,Tabla1[[NOMBRE]:[CODIGO2]],4,0),"")</f>
        <v/>
      </c>
      <c r="K32" s="27" t="n"/>
      <c r="L32" s="93">
        <f>SUMIF($O$11:$AB$11,"Area Lote",$O32:$AB32)</f>
        <v/>
      </c>
      <c r="M32" s="94" t="n"/>
      <c r="N32" s="94" t="n"/>
      <c r="O32" s="100" t="n"/>
      <c r="P32" s="101" t="n"/>
      <c r="Q32" s="102" t="n"/>
      <c r="R32" s="102" t="n"/>
      <c r="S32" s="100" t="n"/>
      <c r="T32" s="101" t="n"/>
      <c r="U32" s="102" t="n"/>
      <c r="V32" s="102" t="n"/>
      <c r="W32" s="100" t="n"/>
      <c r="X32" s="101" t="n"/>
      <c r="Y32" s="102" t="n"/>
      <c r="Z32" s="102" t="n"/>
      <c r="AA32" s="100" t="n"/>
      <c r="AB32" s="101" t="n"/>
      <c r="AC32" s="85" t="n"/>
      <c r="AD32" s="85" t="n"/>
      <c r="AE32" s="85" t="n"/>
      <c r="AF32" s="85" t="n"/>
      <c r="AG32" s="85" t="n"/>
      <c r="AH32" s="85" t="n"/>
      <c r="AI32" s="85" t="n"/>
      <c r="AJ32" s="85" t="n"/>
      <c r="AK32" s="85" t="n"/>
      <c r="AL32" s="85" t="n"/>
      <c r="AM32" s="85" t="n"/>
      <c r="AN32" s="85" t="n"/>
      <c r="AO32" s="85" t="n"/>
      <c r="AP32" s="85" t="n"/>
      <c r="AQ32" s="85" t="n"/>
      <c r="AR32" s="85" t="n"/>
      <c r="AS32" s="85" t="n"/>
      <c r="AT32" s="86" t="n"/>
      <c r="AU32" s="57" t="n"/>
      <c r="AV32" s="87" t="n"/>
      <c r="AW32" s="88">
        <f>IF(J32&lt;&gt;" ",VLOOKUP(J32,lista_labores,4,FALSE),"  ")</f>
        <v/>
      </c>
      <c r="AX32" s="88">
        <f>+AW32*L32</f>
        <v/>
      </c>
      <c r="AY32" s="103" t="n"/>
      <c r="BF32" s="134" t="n"/>
    </row>
    <row r="33" ht="13" customHeight="1">
      <c r="B33" s="89" t="n"/>
      <c r="C33" s="90">
        <f>IFERROR(VLOOKUP(D33,lista_trabajadores!B:E,4,FALSE),"")</f>
        <v/>
      </c>
      <c r="D33" s="144" t="n"/>
      <c r="E33" s="198" t="n"/>
      <c r="F33" s="199" t="n"/>
      <c r="G33" s="91" t="n"/>
      <c r="H33" s="96" t="n"/>
      <c r="I33" s="92" t="n"/>
      <c r="J33" s="90">
        <f>IFERROR(VLOOKUP($K33,Tabla1[[NOMBRE]:[CODIGO2]],4,0),"")</f>
        <v/>
      </c>
      <c r="K33" s="27" t="n"/>
      <c r="L33" s="93">
        <f>SUMIF($O$11:$AB$11,"Area Lote",$O33:$AB33)</f>
        <v/>
      </c>
      <c r="M33" s="94" t="n"/>
      <c r="N33" s="94" t="n"/>
      <c r="O33" s="100" t="n"/>
      <c r="P33" s="101" t="n"/>
      <c r="Q33" s="102" t="n"/>
      <c r="R33" s="102" t="n"/>
      <c r="S33" s="100" t="n"/>
      <c r="T33" s="101" t="n"/>
      <c r="U33" s="102" t="n"/>
      <c r="V33" s="102" t="n"/>
      <c r="W33" s="100" t="n"/>
      <c r="X33" s="101" t="n"/>
      <c r="Y33" s="102" t="n"/>
      <c r="Z33" s="102" t="n"/>
      <c r="AA33" s="100" t="n"/>
      <c r="AB33" s="101" t="n"/>
      <c r="AC33" s="85" t="n"/>
      <c r="AD33" s="85" t="n"/>
      <c r="AE33" s="85" t="n"/>
      <c r="AF33" s="85" t="n"/>
      <c r="AG33" s="85" t="n"/>
      <c r="AH33" s="85" t="n"/>
      <c r="AI33" s="85" t="n"/>
      <c r="AJ33" s="85" t="n"/>
      <c r="AK33" s="85" t="n"/>
      <c r="AL33" s="85" t="n"/>
      <c r="AM33" s="85" t="n"/>
      <c r="AN33" s="85" t="n"/>
      <c r="AO33" s="85" t="n"/>
      <c r="AP33" s="85" t="n"/>
      <c r="AQ33" s="85" t="n"/>
      <c r="AR33" s="85" t="n"/>
      <c r="AS33" s="85" t="n"/>
      <c r="AT33" s="86" t="n"/>
      <c r="AU33" s="57" t="n"/>
      <c r="AV33" s="87" t="n"/>
      <c r="AW33" s="88">
        <f>IF(J33&lt;&gt;" ",VLOOKUP(J33,lista_labores,4,FALSE),"  ")</f>
        <v/>
      </c>
      <c r="AX33" s="88">
        <f>+AW33*L33</f>
        <v/>
      </c>
      <c r="AY33" s="103" t="n"/>
      <c r="BF33" s="134" t="n"/>
    </row>
    <row r="34" ht="13" customHeight="1">
      <c r="B34" s="89" t="n"/>
      <c r="C34" s="90">
        <f>IFERROR(VLOOKUP(D34,lista_trabajadores!B:E,4,FALSE),"")</f>
        <v/>
      </c>
      <c r="D34" s="144" t="n"/>
      <c r="E34" s="198" t="n"/>
      <c r="F34" s="199" t="n"/>
      <c r="G34" s="91" t="n"/>
      <c r="H34" s="96" t="n"/>
      <c r="I34" s="92" t="n"/>
      <c r="J34" s="90">
        <f>IFERROR(VLOOKUP($K34,Tabla1[[NOMBRE]:[CODIGO2]],4,0),"")</f>
        <v/>
      </c>
      <c r="K34" s="27" t="n"/>
      <c r="L34" s="93">
        <f>SUMIF($O$11:$AB$11,"Area Lote",$O34:$AB34)</f>
        <v/>
      </c>
      <c r="M34" s="94" t="n"/>
      <c r="N34" s="94" t="n"/>
      <c r="O34" s="100" t="n"/>
      <c r="P34" s="101" t="n"/>
      <c r="Q34" s="102" t="n"/>
      <c r="R34" s="102" t="n"/>
      <c r="S34" s="100" t="n"/>
      <c r="T34" s="101" t="n"/>
      <c r="U34" s="102" t="n"/>
      <c r="V34" s="102" t="n"/>
      <c r="W34" s="100" t="n"/>
      <c r="X34" s="101" t="n"/>
      <c r="Y34" s="102" t="n"/>
      <c r="Z34" s="102" t="n"/>
      <c r="AA34" s="100" t="n"/>
      <c r="AB34" s="101" t="n"/>
      <c r="AC34" s="85" t="n"/>
      <c r="AD34" s="85" t="n"/>
      <c r="AE34" s="85" t="n"/>
      <c r="AF34" s="85" t="n"/>
      <c r="AG34" s="85" t="n"/>
      <c r="AH34" s="85" t="n"/>
      <c r="AI34" s="85" t="n"/>
      <c r="AJ34" s="85" t="n"/>
      <c r="AK34" s="85" t="n"/>
      <c r="AL34" s="85" t="n"/>
      <c r="AM34" s="85" t="n"/>
      <c r="AN34" s="85" t="n"/>
      <c r="AO34" s="85" t="n"/>
      <c r="AP34" s="85" t="n"/>
      <c r="AQ34" s="85" t="n"/>
      <c r="AR34" s="85" t="n"/>
      <c r="AS34" s="85" t="n"/>
      <c r="AT34" s="86" t="n"/>
      <c r="AU34" s="57" t="n"/>
      <c r="AV34" s="87" t="n"/>
      <c r="AW34" s="88">
        <f>IF(J34&lt;&gt;" ",VLOOKUP(J34,lista_labores,4,FALSE),"  ")</f>
        <v/>
      </c>
      <c r="AX34" s="88">
        <f>+AW34*L34</f>
        <v/>
      </c>
      <c r="AY34" s="103" t="n"/>
      <c r="BF34" s="134" t="n"/>
    </row>
    <row r="35" ht="13" customHeight="1">
      <c r="B35" s="89" t="n"/>
      <c r="C35" s="90">
        <f>IFERROR(VLOOKUP(D35,lista_trabajadores!B:E,4,FALSE),"")</f>
        <v/>
      </c>
      <c r="D35" s="144" t="n"/>
      <c r="E35" s="198" t="n"/>
      <c r="F35" s="199" t="n"/>
      <c r="G35" s="91" t="n"/>
      <c r="H35" s="96" t="n"/>
      <c r="I35" s="92" t="n"/>
      <c r="J35" s="90">
        <f>IFERROR(VLOOKUP($K35,Tabla1[[NOMBRE]:[CODIGO2]],4,0),"")</f>
        <v/>
      </c>
      <c r="K35" s="27" t="n"/>
      <c r="L35" s="93">
        <f>SUMIF($O$11:$AB$11,"Area Lote",$O35:$AB35)</f>
        <v/>
      </c>
      <c r="M35" s="94" t="n"/>
      <c r="N35" s="94" t="n"/>
      <c r="O35" s="100" t="n"/>
      <c r="P35" s="101" t="n"/>
      <c r="Q35" s="102" t="n"/>
      <c r="R35" s="102" t="n"/>
      <c r="S35" s="100" t="n"/>
      <c r="T35" s="101" t="n"/>
      <c r="U35" s="102" t="n"/>
      <c r="V35" s="102" t="n"/>
      <c r="W35" s="100" t="n"/>
      <c r="X35" s="101" t="n"/>
      <c r="Y35" s="102" t="n"/>
      <c r="Z35" s="102" t="n"/>
      <c r="AA35" s="100" t="n"/>
      <c r="AB35" s="101" t="n"/>
      <c r="AC35" s="85" t="n"/>
      <c r="AD35" s="85" t="n"/>
      <c r="AE35" s="85" t="n"/>
      <c r="AF35" s="85" t="n"/>
      <c r="AG35" s="85" t="n"/>
      <c r="AH35" s="85" t="n"/>
      <c r="AI35" s="85" t="n"/>
      <c r="AJ35" s="85" t="n"/>
      <c r="AK35" s="85" t="n"/>
      <c r="AL35" s="85" t="n"/>
      <c r="AM35" s="85" t="n"/>
      <c r="AN35" s="85" t="n"/>
      <c r="AO35" s="85" t="n"/>
      <c r="AP35" s="85" t="n"/>
      <c r="AQ35" s="85" t="n"/>
      <c r="AR35" s="85" t="n"/>
      <c r="AS35" s="85" t="n"/>
      <c r="AT35" s="86" t="n"/>
      <c r="AU35" s="57" t="n"/>
      <c r="AV35" s="87" t="n"/>
      <c r="AW35" s="88">
        <f>IF(J35&lt;&gt;" ",VLOOKUP(J35,lista_labores,4,FALSE),"  ")</f>
        <v/>
      </c>
      <c r="AX35" s="88">
        <f>+AW35*L35</f>
        <v/>
      </c>
      <c r="AY35" s="103" t="n"/>
      <c r="BF35" s="134" t="n"/>
    </row>
    <row r="36" ht="13" customHeight="1">
      <c r="B36" s="89" t="n"/>
      <c r="C36" s="90">
        <f>IFERROR(VLOOKUP(D36,lista_trabajadores!B:E,4,FALSE),"")</f>
        <v/>
      </c>
      <c r="D36" s="144" t="n"/>
      <c r="E36" s="198" t="n"/>
      <c r="F36" s="199" t="n"/>
      <c r="G36" s="91" t="n"/>
      <c r="H36" s="96" t="n"/>
      <c r="I36" s="92" t="n"/>
      <c r="J36" s="90">
        <f>IFERROR(VLOOKUP($K36,Tabla1[[NOMBRE]:[CODIGO2]],4,0),"")</f>
        <v/>
      </c>
      <c r="K36" s="27" t="n"/>
      <c r="L36" s="93">
        <f>SUMIF($O$11:$AB$11,"Area Lote",$O36:$AB36)</f>
        <v/>
      </c>
      <c r="M36" s="94" t="n"/>
      <c r="N36" s="94" t="n"/>
      <c r="O36" s="100" t="n"/>
      <c r="P36" s="101" t="n"/>
      <c r="Q36" s="102" t="n"/>
      <c r="R36" s="102" t="n"/>
      <c r="S36" s="100" t="n"/>
      <c r="T36" s="101" t="n"/>
      <c r="U36" s="102" t="n"/>
      <c r="V36" s="102" t="n"/>
      <c r="W36" s="100" t="n"/>
      <c r="X36" s="101" t="n"/>
      <c r="Y36" s="102" t="n"/>
      <c r="Z36" s="102" t="n"/>
      <c r="AA36" s="100" t="n"/>
      <c r="AB36" s="101" t="n"/>
      <c r="AC36" s="85" t="n"/>
      <c r="AD36" s="85" t="n"/>
      <c r="AE36" s="85" t="n"/>
      <c r="AF36" s="85" t="n"/>
      <c r="AG36" s="85" t="n"/>
      <c r="AH36" s="85" t="n"/>
      <c r="AI36" s="85" t="n"/>
      <c r="AJ36" s="85" t="n"/>
      <c r="AK36" s="85" t="n"/>
      <c r="AL36" s="85" t="n"/>
      <c r="AM36" s="85" t="n"/>
      <c r="AN36" s="85" t="n"/>
      <c r="AO36" s="85" t="n"/>
      <c r="AP36" s="85" t="n"/>
      <c r="AQ36" s="85" t="n"/>
      <c r="AR36" s="85" t="n"/>
      <c r="AS36" s="85" t="n"/>
      <c r="AT36" s="86" t="n"/>
      <c r="AU36" s="57" t="n"/>
      <c r="AV36" s="87" t="n"/>
      <c r="AW36" s="88">
        <f>IF(J36&lt;&gt;" ",VLOOKUP(J36,lista_labores,4,FALSE),"  ")</f>
        <v/>
      </c>
      <c r="AX36" s="88">
        <f>+AW36*L36</f>
        <v/>
      </c>
      <c r="AY36" s="103" t="n"/>
      <c r="BF36" s="134" t="n"/>
    </row>
    <row r="37" ht="13" customHeight="1">
      <c r="B37" s="89" t="n"/>
      <c r="C37" s="90">
        <f>IFERROR(VLOOKUP(D37,lista_trabajadores!B:E,4,FALSE),"")</f>
        <v/>
      </c>
      <c r="D37" s="144" t="n"/>
      <c r="E37" s="198" t="n"/>
      <c r="F37" s="199" t="n"/>
      <c r="G37" s="91" t="n"/>
      <c r="H37" s="96" t="n"/>
      <c r="I37" s="92" t="n"/>
      <c r="J37" s="90">
        <f>IFERROR(VLOOKUP($K37,Tabla1[[NOMBRE]:[CODIGO2]],4,0),"")</f>
        <v/>
      </c>
      <c r="K37" s="27" t="n"/>
      <c r="L37" s="93">
        <f>SUMIF($O$11:$AB$11,"Area Lote",$O37:$AB37)</f>
        <v/>
      </c>
      <c r="M37" s="94" t="n"/>
      <c r="N37" s="94" t="n"/>
      <c r="O37" s="100" t="n"/>
      <c r="P37" s="101" t="n"/>
      <c r="Q37" s="102" t="n"/>
      <c r="R37" s="102" t="n"/>
      <c r="S37" s="100" t="n"/>
      <c r="T37" s="101" t="n"/>
      <c r="U37" s="102" t="n"/>
      <c r="V37" s="102" t="n"/>
      <c r="W37" s="100" t="n"/>
      <c r="X37" s="101" t="n"/>
      <c r="Y37" s="102" t="n"/>
      <c r="Z37" s="102" t="n"/>
      <c r="AA37" s="100" t="n"/>
      <c r="AB37" s="101" t="n"/>
      <c r="AC37" s="85" t="n"/>
      <c r="AD37" s="85" t="n"/>
      <c r="AE37" s="85" t="n"/>
      <c r="AF37" s="85" t="n"/>
      <c r="AG37" s="85" t="n"/>
      <c r="AH37" s="85" t="n"/>
      <c r="AI37" s="85" t="n"/>
      <c r="AJ37" s="85" t="n"/>
      <c r="AK37" s="85" t="n"/>
      <c r="AL37" s="85" t="n"/>
      <c r="AM37" s="85" t="n"/>
      <c r="AN37" s="85" t="n"/>
      <c r="AO37" s="85" t="n"/>
      <c r="AP37" s="85" t="n"/>
      <c r="AQ37" s="85" t="n"/>
      <c r="AR37" s="85" t="n"/>
      <c r="AS37" s="85" t="n"/>
      <c r="AT37" s="86" t="n"/>
      <c r="AU37" s="57" t="n"/>
      <c r="AV37" s="87" t="n"/>
      <c r="AW37" s="88">
        <f>IF(J37&lt;&gt;" ",VLOOKUP(J37,lista_labores,4,FALSE),"  ")</f>
        <v/>
      </c>
      <c r="AX37" s="88">
        <f>+AW37*L37</f>
        <v/>
      </c>
      <c r="AY37" s="103" t="n"/>
      <c r="BF37" s="134" t="n"/>
    </row>
    <row r="38" ht="13" customHeight="1">
      <c r="B38" s="89" t="n"/>
      <c r="C38" s="90">
        <f>IFERROR(VLOOKUP(D38,lista_trabajadores!B:E,4,FALSE),"")</f>
        <v/>
      </c>
      <c r="D38" s="144" t="n"/>
      <c r="E38" s="198" t="n"/>
      <c r="F38" s="199" t="n"/>
      <c r="G38" s="91" t="n"/>
      <c r="H38" s="96" t="n"/>
      <c r="I38" s="92" t="n"/>
      <c r="J38" s="90">
        <f>IFERROR(VLOOKUP($K38,Tabla1[[NOMBRE]:[CODIGO2]],4,0),"")</f>
        <v/>
      </c>
      <c r="K38" s="27" t="n"/>
      <c r="L38" s="93">
        <f>SUMIF($O$11:$AB$11,"Area Lote",$O38:$AB38)</f>
        <v/>
      </c>
      <c r="M38" s="94" t="n"/>
      <c r="N38" s="94" t="n"/>
      <c r="O38" s="100" t="n"/>
      <c r="P38" s="101" t="n"/>
      <c r="Q38" s="102" t="n"/>
      <c r="R38" s="102" t="n"/>
      <c r="S38" s="100" t="n"/>
      <c r="T38" s="101" t="n"/>
      <c r="U38" s="102" t="n"/>
      <c r="V38" s="102" t="n"/>
      <c r="W38" s="100" t="n"/>
      <c r="X38" s="101" t="n"/>
      <c r="Y38" s="102" t="n"/>
      <c r="Z38" s="102" t="n"/>
      <c r="AA38" s="100" t="n"/>
      <c r="AB38" s="101" t="n"/>
      <c r="AC38" s="85" t="n"/>
      <c r="AD38" s="85" t="n"/>
      <c r="AE38" s="85" t="n"/>
      <c r="AF38" s="85" t="n"/>
      <c r="AG38" s="85" t="n"/>
      <c r="AH38" s="85" t="n"/>
      <c r="AI38" s="85" t="n"/>
      <c r="AJ38" s="85" t="n"/>
      <c r="AK38" s="85" t="n"/>
      <c r="AL38" s="85" t="n"/>
      <c r="AM38" s="85" t="n"/>
      <c r="AN38" s="85" t="n"/>
      <c r="AO38" s="85" t="n"/>
      <c r="AP38" s="85" t="n"/>
      <c r="AQ38" s="85" t="n"/>
      <c r="AR38" s="85" t="n"/>
      <c r="AS38" s="85" t="n"/>
      <c r="AT38" s="86" t="n"/>
      <c r="AU38" s="57" t="n"/>
      <c r="AV38" s="87" t="n"/>
      <c r="AW38" s="88">
        <f>IF(J38&lt;&gt;" ",VLOOKUP(J38,lista_labores,4,FALSE),"  ")</f>
        <v/>
      </c>
      <c r="AX38" s="88">
        <f>+AW38*L38</f>
        <v/>
      </c>
      <c r="AY38" s="103" t="n"/>
      <c r="BF38" s="134" t="n"/>
    </row>
    <row r="39" ht="13" customHeight="1">
      <c r="B39" s="89" t="n"/>
      <c r="C39" s="90">
        <f>IFERROR(VLOOKUP(D39,lista_trabajadores!B:E,4,FALSE),"")</f>
        <v/>
      </c>
      <c r="D39" s="200" t="n"/>
      <c r="E39" s="198" t="n"/>
      <c r="F39" s="201" t="n"/>
      <c r="G39" s="91" t="n"/>
      <c r="H39" s="96" t="n"/>
      <c r="I39" s="92" t="n"/>
      <c r="J39" s="90">
        <f>IFERROR(VLOOKUP($K39,Tabla1[[NOMBRE]:[CODIGO2]],4,0),"")</f>
        <v/>
      </c>
      <c r="K39" s="27" t="n"/>
      <c r="L39" s="93">
        <f>SUMIF($O$11:$AB$11,"Area Lote",$O39:$AB39)</f>
        <v/>
      </c>
      <c r="M39" s="94" t="n"/>
      <c r="N39" s="94" t="n"/>
      <c r="O39" s="100" t="n"/>
      <c r="P39" s="101" t="n"/>
      <c r="Q39" s="102" t="n"/>
      <c r="R39" s="102" t="n"/>
      <c r="S39" s="100" t="n"/>
      <c r="T39" s="101" t="n"/>
      <c r="U39" s="102" t="n"/>
      <c r="V39" s="102" t="n"/>
      <c r="W39" s="100" t="n"/>
      <c r="X39" s="101" t="n"/>
      <c r="Y39" s="102" t="n"/>
      <c r="Z39" s="102" t="n"/>
      <c r="AA39" s="100" t="n"/>
      <c r="AB39" s="101" t="n"/>
      <c r="AC39" s="85" t="n"/>
      <c r="AD39" s="85" t="n"/>
      <c r="AE39" s="85" t="n"/>
      <c r="AF39" s="85" t="n"/>
      <c r="AG39" s="85" t="n"/>
      <c r="AH39" s="85" t="n"/>
      <c r="AI39" s="85" t="n"/>
      <c r="AJ39" s="85" t="n"/>
      <c r="AK39" s="85" t="n"/>
      <c r="AL39" s="85" t="n"/>
      <c r="AM39" s="85" t="n"/>
      <c r="AN39" s="85" t="n"/>
      <c r="AO39" s="85" t="n"/>
      <c r="AP39" s="85" t="n"/>
      <c r="AQ39" s="85" t="n"/>
      <c r="AR39" s="85" t="n"/>
      <c r="AS39" s="85" t="n"/>
      <c r="AT39" s="86" t="n"/>
      <c r="AU39" s="57" t="n"/>
      <c r="AV39" s="87" t="n"/>
      <c r="AW39" s="88">
        <f>IF(J39&lt;&gt;" ",VLOOKUP(J39,lista_labores,4,FALSE),"  ")</f>
        <v/>
      </c>
      <c r="AX39" s="88">
        <f>+AW39*L39</f>
        <v/>
      </c>
      <c r="AY39" s="103" t="n"/>
      <c r="BF39" s="134" t="n"/>
    </row>
    <row r="40" ht="13" customHeight="1">
      <c r="B40" s="89" t="n"/>
      <c r="C40" s="90">
        <f>IFERROR(VLOOKUP(D40,lista_trabajadores!B:E,4,FALSE),"")</f>
        <v/>
      </c>
      <c r="D40" s="144" t="n"/>
      <c r="E40" s="198" t="n"/>
      <c r="F40" s="199" t="n"/>
      <c r="G40" s="91" t="n"/>
      <c r="H40" s="96" t="n"/>
      <c r="I40" s="92" t="n"/>
      <c r="J40" s="90">
        <f>IFERROR(VLOOKUP($K40,Tabla1[[NOMBRE]:[CODIGO2]],4,0),"")</f>
        <v/>
      </c>
      <c r="K40" s="27" t="n"/>
      <c r="L40" s="93">
        <f>SUMIF($O$11:$AB$11,"Area Lote",$O40:$AB40)</f>
        <v/>
      </c>
      <c r="M40" s="94" t="n"/>
      <c r="N40" s="94" t="n"/>
      <c r="O40" s="100" t="n"/>
      <c r="P40" s="101" t="n"/>
      <c r="Q40" s="102" t="n"/>
      <c r="R40" s="102" t="n"/>
      <c r="S40" s="100" t="n"/>
      <c r="T40" s="101" t="n"/>
      <c r="U40" s="102" t="n"/>
      <c r="V40" s="102" t="n"/>
      <c r="W40" s="100" t="n"/>
      <c r="X40" s="101" t="n"/>
      <c r="Y40" s="102" t="n"/>
      <c r="Z40" s="102" t="n"/>
      <c r="AA40" s="100" t="n"/>
      <c r="AB40" s="101" t="n"/>
      <c r="AC40" s="85" t="n"/>
      <c r="AD40" s="85" t="n"/>
      <c r="AE40" s="85" t="n"/>
      <c r="AF40" s="85" t="n"/>
      <c r="AG40" s="85" t="n"/>
      <c r="AH40" s="85" t="n"/>
      <c r="AI40" s="85" t="n"/>
      <c r="AJ40" s="85" t="n"/>
      <c r="AK40" s="85" t="n"/>
      <c r="AL40" s="85" t="n"/>
      <c r="AM40" s="85" t="n"/>
      <c r="AN40" s="85" t="n"/>
      <c r="AO40" s="85" t="n"/>
      <c r="AP40" s="85" t="n"/>
      <c r="AQ40" s="85" t="n"/>
      <c r="AR40" s="85" t="n"/>
      <c r="AS40" s="85" t="n"/>
      <c r="AT40" s="86" t="n"/>
      <c r="AU40" s="57" t="n"/>
      <c r="AV40" s="87" t="n"/>
      <c r="AW40" s="88">
        <f>IF(J40&lt;&gt;" ",VLOOKUP(J40,lista_labores,4,FALSE),"  ")</f>
        <v/>
      </c>
      <c r="AX40" s="88">
        <f>+AW40*L40</f>
        <v/>
      </c>
      <c r="AY40" s="103" t="n"/>
      <c r="BF40" s="134" t="n"/>
    </row>
    <row r="41" ht="13" customHeight="1">
      <c r="B41" s="89" t="n"/>
      <c r="C41" s="90">
        <f>IFERROR(VLOOKUP(D41,lista_trabajadores!B:E,4,FALSE),"")</f>
        <v/>
      </c>
      <c r="D41" s="144" t="n"/>
      <c r="E41" s="198" t="n"/>
      <c r="F41" s="199" t="n"/>
      <c r="G41" s="91" t="n"/>
      <c r="H41" s="96" t="n"/>
      <c r="I41" s="92" t="n"/>
      <c r="J41" s="90">
        <f>IFERROR(VLOOKUP($K41,Tabla1[[NOMBRE]:[CODIGO2]],4,0),"")</f>
        <v/>
      </c>
      <c r="K41" s="27" t="n"/>
      <c r="L41" s="93">
        <f>SUMIF($O$11:$AB$11,"Area Lote",$O41:$AB41)</f>
        <v/>
      </c>
      <c r="M41" s="94" t="n"/>
      <c r="N41" s="94" t="n"/>
      <c r="O41" s="100" t="n"/>
      <c r="P41" s="101" t="n"/>
      <c r="Q41" s="102" t="n"/>
      <c r="R41" s="102" t="n"/>
      <c r="S41" s="100" t="n"/>
      <c r="T41" s="101" t="n"/>
      <c r="U41" s="102" t="n"/>
      <c r="V41" s="102" t="n"/>
      <c r="W41" s="100" t="n"/>
      <c r="X41" s="101" t="n"/>
      <c r="Y41" s="102" t="n"/>
      <c r="Z41" s="102" t="n"/>
      <c r="AA41" s="100" t="n"/>
      <c r="AB41" s="101" t="n"/>
      <c r="AC41" s="85" t="n"/>
      <c r="AD41" s="85" t="n"/>
      <c r="AE41" s="85" t="n"/>
      <c r="AF41" s="85" t="n"/>
      <c r="AG41" s="85" t="n"/>
      <c r="AH41" s="85" t="n"/>
      <c r="AI41" s="85" t="n"/>
      <c r="AJ41" s="85" t="n"/>
      <c r="AK41" s="85" t="n"/>
      <c r="AL41" s="85" t="n"/>
      <c r="AM41" s="85" t="n"/>
      <c r="AN41" s="85" t="n"/>
      <c r="AO41" s="85" t="n"/>
      <c r="AP41" s="85" t="n"/>
      <c r="AQ41" s="85" t="n"/>
      <c r="AR41" s="85" t="n"/>
      <c r="AS41" s="85" t="n"/>
      <c r="AT41" s="86" t="n"/>
      <c r="AU41" s="57" t="n"/>
      <c r="AV41" s="87" t="n"/>
      <c r="AW41" s="88">
        <f>IF(J41&lt;&gt;" ",VLOOKUP(J41,lista_labores,4,FALSE),"  ")</f>
        <v/>
      </c>
      <c r="AX41" s="88">
        <f>+AW41*L41</f>
        <v/>
      </c>
      <c r="AY41" s="103" t="n"/>
      <c r="BF41" s="134" t="n"/>
    </row>
    <row r="42" ht="13" customHeight="1">
      <c r="B42" s="89" t="n"/>
      <c r="C42" s="90">
        <f>IFERROR(VLOOKUP(D42,lista_trabajadores!B:E,4,FALSE),"")</f>
        <v/>
      </c>
      <c r="D42" s="144" t="n"/>
      <c r="E42" s="198" t="n"/>
      <c r="F42" s="199" t="n"/>
      <c r="G42" s="91" t="n"/>
      <c r="H42" s="96" t="n"/>
      <c r="I42" s="92" t="n"/>
      <c r="J42" s="90">
        <f>IFERROR(VLOOKUP($K42,Tabla1[[NOMBRE]:[CODIGO2]],4,0),"")</f>
        <v/>
      </c>
      <c r="K42" s="27" t="n"/>
      <c r="L42" s="93">
        <f>SUMIF($O$11:$AB$11,"Area Lote",$O42:$AB42)</f>
        <v/>
      </c>
      <c r="M42" s="94" t="n"/>
      <c r="N42" s="94" t="n"/>
      <c r="O42" s="100" t="n"/>
      <c r="P42" s="101" t="n"/>
      <c r="Q42" s="102" t="n"/>
      <c r="R42" s="102" t="n"/>
      <c r="S42" s="100" t="n"/>
      <c r="T42" s="101" t="n"/>
      <c r="U42" s="102" t="n"/>
      <c r="V42" s="102" t="n"/>
      <c r="W42" s="100" t="n"/>
      <c r="X42" s="101" t="n"/>
      <c r="Y42" s="102" t="n"/>
      <c r="Z42" s="102" t="n"/>
      <c r="AA42" s="100" t="n"/>
      <c r="AB42" s="101" t="n"/>
      <c r="AC42" s="85" t="n"/>
      <c r="AD42" s="85" t="n"/>
      <c r="AE42" s="85" t="n"/>
      <c r="AF42" s="85" t="n"/>
      <c r="AG42" s="85" t="n"/>
      <c r="AH42" s="85" t="n"/>
      <c r="AI42" s="85" t="n"/>
      <c r="AJ42" s="85" t="n"/>
      <c r="AK42" s="85" t="n"/>
      <c r="AL42" s="85" t="n"/>
      <c r="AM42" s="85" t="n"/>
      <c r="AN42" s="85" t="n"/>
      <c r="AO42" s="85" t="n"/>
      <c r="AP42" s="85" t="n"/>
      <c r="AQ42" s="85" t="n"/>
      <c r="AR42" s="85" t="n"/>
      <c r="AS42" s="85" t="n"/>
      <c r="AT42" s="86" t="n"/>
      <c r="AU42" s="57" t="n"/>
      <c r="AV42" s="87" t="n"/>
      <c r="AW42" s="88">
        <f>IF(J42&lt;&gt;" ",VLOOKUP(J42,lista_labores,4,FALSE),"  ")</f>
        <v/>
      </c>
      <c r="AX42" s="88">
        <f>+AW42*L42</f>
        <v/>
      </c>
      <c r="AY42" s="103" t="n"/>
      <c r="BF42" s="134" t="n"/>
    </row>
    <row r="43" ht="13" customHeight="1">
      <c r="B43" s="89" t="n"/>
      <c r="C43" s="90">
        <f>IFERROR(VLOOKUP(D43,lista_trabajadores!B:E,4,FALSE),"")</f>
        <v/>
      </c>
      <c r="D43" s="144" t="n"/>
      <c r="E43" s="198" t="n"/>
      <c r="F43" s="199" t="n"/>
      <c r="G43" s="91" t="n"/>
      <c r="H43" s="96" t="n"/>
      <c r="I43" s="92" t="n"/>
      <c r="J43" s="90">
        <f>IFERROR(VLOOKUP($K43,Tabla1[[NOMBRE]:[CODIGO2]],4,0),"")</f>
        <v/>
      </c>
      <c r="K43" s="27" t="n"/>
      <c r="L43" s="93">
        <f>SUMIF($O$11:$AB$11,"Area Lote",$O43:$AB43)</f>
        <v/>
      </c>
      <c r="M43" s="94" t="n"/>
      <c r="N43" s="94" t="n"/>
      <c r="O43" s="100" t="n"/>
      <c r="P43" s="101" t="n"/>
      <c r="Q43" s="102" t="n"/>
      <c r="R43" s="102" t="n"/>
      <c r="S43" s="100" t="n"/>
      <c r="T43" s="101" t="n"/>
      <c r="U43" s="102" t="n"/>
      <c r="V43" s="102" t="n"/>
      <c r="W43" s="100" t="n"/>
      <c r="X43" s="101" t="n"/>
      <c r="Y43" s="102" t="n"/>
      <c r="Z43" s="102" t="n"/>
      <c r="AA43" s="100" t="n"/>
      <c r="AB43" s="101" t="n"/>
      <c r="AC43" s="85" t="n"/>
      <c r="AD43" s="85" t="n"/>
      <c r="AE43" s="85" t="n"/>
      <c r="AF43" s="85" t="n"/>
      <c r="AG43" s="85" t="n"/>
      <c r="AH43" s="85" t="n"/>
      <c r="AI43" s="85" t="n"/>
      <c r="AJ43" s="85" t="n"/>
      <c r="AK43" s="85" t="n"/>
      <c r="AL43" s="85" t="n"/>
      <c r="AM43" s="85" t="n"/>
      <c r="AN43" s="85" t="n"/>
      <c r="AO43" s="85" t="n"/>
      <c r="AP43" s="85" t="n"/>
      <c r="AQ43" s="85" t="n"/>
      <c r="AR43" s="85" t="n"/>
      <c r="AS43" s="85" t="n"/>
      <c r="AT43" s="86" t="n"/>
      <c r="AU43" s="57" t="n"/>
      <c r="AV43" s="87" t="n"/>
      <c r="AW43" s="88">
        <f>IF(J43&lt;&gt;" ",VLOOKUP(J43,lista_labores,4,FALSE),"  ")</f>
        <v/>
      </c>
      <c r="AX43" s="88">
        <f>+AW43*L43</f>
        <v/>
      </c>
      <c r="AY43" s="103" t="n"/>
      <c r="BF43" s="134" t="n"/>
    </row>
    <row r="44" ht="13" customHeight="1">
      <c r="B44" s="89" t="n"/>
      <c r="C44" s="90">
        <f>IFERROR(VLOOKUP(D44,lista_trabajadores!B:E,4,FALSE),"")</f>
        <v/>
      </c>
      <c r="D44" s="144" t="n"/>
      <c r="E44" s="198" t="n"/>
      <c r="F44" s="199" t="n"/>
      <c r="G44" s="91" t="n"/>
      <c r="H44" s="96" t="n"/>
      <c r="I44" s="92" t="n"/>
      <c r="J44" s="90">
        <f>IFERROR(VLOOKUP($K44,Tabla1[[NOMBRE]:[CODIGO2]],4,0),"")</f>
        <v/>
      </c>
      <c r="K44" s="27" t="n"/>
      <c r="L44" s="93">
        <f>SUMIF($O$11:$AB$11,"Area Lote",$O44:$AB44)</f>
        <v/>
      </c>
      <c r="M44" s="94" t="n"/>
      <c r="N44" s="94" t="n"/>
      <c r="O44" s="100" t="n"/>
      <c r="P44" s="101" t="n"/>
      <c r="Q44" s="102" t="n"/>
      <c r="R44" s="102" t="n"/>
      <c r="S44" s="100" t="n"/>
      <c r="T44" s="101" t="n"/>
      <c r="U44" s="102" t="n"/>
      <c r="V44" s="102" t="n"/>
      <c r="W44" s="100" t="n"/>
      <c r="X44" s="101" t="n"/>
      <c r="Y44" s="102" t="n"/>
      <c r="Z44" s="102" t="n"/>
      <c r="AA44" s="100" t="n"/>
      <c r="AB44" s="101" t="n"/>
      <c r="AC44" s="85" t="n"/>
      <c r="AD44" s="85" t="n"/>
      <c r="AE44" s="85" t="n"/>
      <c r="AF44" s="85" t="n"/>
      <c r="AG44" s="85" t="n"/>
      <c r="AH44" s="85" t="n"/>
      <c r="AI44" s="85" t="n"/>
      <c r="AJ44" s="85" t="n"/>
      <c r="AK44" s="85" t="n"/>
      <c r="AL44" s="85" t="n"/>
      <c r="AM44" s="85" t="n"/>
      <c r="AN44" s="85" t="n"/>
      <c r="AO44" s="85" t="n"/>
      <c r="AP44" s="85" t="n"/>
      <c r="AQ44" s="85" t="n"/>
      <c r="AR44" s="85" t="n"/>
      <c r="AS44" s="85" t="n"/>
      <c r="AT44" s="86" t="n"/>
      <c r="AU44" s="57" t="n"/>
      <c r="AV44" s="87" t="n"/>
      <c r="AW44" s="88">
        <f>IF(J44&lt;&gt;" ",VLOOKUP(J44,lista_labores,4,FALSE),"  ")</f>
        <v/>
      </c>
      <c r="AX44" s="88">
        <f>+AW44*L44</f>
        <v/>
      </c>
      <c r="AY44" s="103" t="n"/>
      <c r="BF44" s="134" t="n"/>
    </row>
    <row r="45" ht="13" customHeight="1">
      <c r="B45" s="89" t="n"/>
      <c r="C45" s="90">
        <f>IFERROR(VLOOKUP(D45,lista_trabajadores!B:E,4,FALSE),"")</f>
        <v/>
      </c>
      <c r="D45" s="144" t="n"/>
      <c r="E45" s="198" t="n"/>
      <c r="F45" s="199" t="n"/>
      <c r="G45" s="91" t="n"/>
      <c r="H45" s="96" t="n"/>
      <c r="I45" s="92" t="n"/>
      <c r="J45" s="90">
        <f>IFERROR(VLOOKUP($K45,Tabla1[[NOMBRE]:[CODIGO2]],4,0),"")</f>
        <v/>
      </c>
      <c r="K45" s="27" t="n"/>
      <c r="L45" s="93">
        <f>SUMIF($O$11:$AB$11,"Area Lote",$O45:$AB45)</f>
        <v/>
      </c>
      <c r="M45" s="94" t="n"/>
      <c r="N45" s="94" t="n"/>
      <c r="O45" s="100" t="n"/>
      <c r="P45" s="101" t="n"/>
      <c r="Q45" s="102" t="n"/>
      <c r="R45" s="102" t="n"/>
      <c r="S45" s="100" t="n"/>
      <c r="T45" s="101" t="n"/>
      <c r="U45" s="102" t="n"/>
      <c r="V45" s="102" t="n"/>
      <c r="W45" s="100" t="n"/>
      <c r="X45" s="101" t="n"/>
      <c r="Y45" s="102" t="n"/>
      <c r="Z45" s="102" t="n"/>
      <c r="AA45" s="100" t="n"/>
      <c r="AB45" s="101" t="n"/>
      <c r="AC45" s="85" t="n"/>
      <c r="AD45" s="85" t="n"/>
      <c r="AE45" s="85" t="n"/>
      <c r="AF45" s="85" t="n"/>
      <c r="AG45" s="85" t="n"/>
      <c r="AH45" s="85" t="n"/>
      <c r="AI45" s="85" t="n"/>
      <c r="AJ45" s="85" t="n"/>
      <c r="AK45" s="85" t="n"/>
      <c r="AL45" s="85" t="n"/>
      <c r="AM45" s="85" t="n"/>
      <c r="AN45" s="85" t="n"/>
      <c r="AO45" s="85" t="n"/>
      <c r="AP45" s="85" t="n"/>
      <c r="AQ45" s="85" t="n"/>
      <c r="AR45" s="85" t="n"/>
      <c r="AS45" s="85" t="n"/>
      <c r="AT45" s="86" t="n"/>
      <c r="AU45" s="57" t="n"/>
      <c r="AV45" s="87" t="n"/>
      <c r="AW45" s="88">
        <f>IF(J45&lt;&gt;" ",VLOOKUP(J45,lista_labores,4,FALSE),"  ")</f>
        <v/>
      </c>
      <c r="AX45" s="88">
        <f>+AW45*L45</f>
        <v/>
      </c>
      <c r="AY45" s="103" t="n"/>
      <c r="BF45" s="134" t="n"/>
    </row>
    <row r="46" ht="13" customHeight="1">
      <c r="B46" s="89" t="n"/>
      <c r="C46" s="90">
        <f>IFERROR(VLOOKUP(D46,lista_trabajadores!B:E,4,FALSE),"")</f>
        <v/>
      </c>
      <c r="D46" s="144" t="n"/>
      <c r="E46" s="198" t="n"/>
      <c r="F46" s="199" t="n"/>
      <c r="G46" s="91" t="n"/>
      <c r="H46" s="96" t="n"/>
      <c r="I46" s="92" t="n"/>
      <c r="J46" s="90">
        <f>IFERROR(VLOOKUP($K46,Tabla1[[NOMBRE]:[CODIGO2]],4,0),"")</f>
        <v/>
      </c>
      <c r="K46" s="27" t="n"/>
      <c r="L46" s="93">
        <f>SUMIF($O$11:$AB$11,"Area Lote",$O46:$AB46)</f>
        <v/>
      </c>
      <c r="M46" s="94" t="n"/>
      <c r="N46" s="94" t="n"/>
      <c r="O46" s="100" t="n"/>
      <c r="P46" s="101" t="n"/>
      <c r="Q46" s="102" t="n"/>
      <c r="R46" s="102" t="n"/>
      <c r="S46" s="100" t="n"/>
      <c r="T46" s="101" t="n"/>
      <c r="U46" s="102" t="n"/>
      <c r="V46" s="102" t="n"/>
      <c r="W46" s="100" t="n"/>
      <c r="X46" s="101" t="n"/>
      <c r="Y46" s="102" t="n"/>
      <c r="Z46" s="102" t="n"/>
      <c r="AA46" s="100" t="n"/>
      <c r="AB46" s="101" t="n"/>
      <c r="AC46" s="85" t="n"/>
      <c r="AD46" s="85" t="n"/>
      <c r="AE46" s="85" t="n"/>
      <c r="AF46" s="85" t="n"/>
      <c r="AG46" s="85" t="n"/>
      <c r="AH46" s="85" t="n"/>
      <c r="AI46" s="85" t="n"/>
      <c r="AJ46" s="85" t="n"/>
      <c r="AK46" s="85" t="n"/>
      <c r="AL46" s="85" t="n"/>
      <c r="AM46" s="85" t="n"/>
      <c r="AN46" s="85" t="n"/>
      <c r="AO46" s="85" t="n"/>
      <c r="AP46" s="85" t="n"/>
      <c r="AQ46" s="85" t="n"/>
      <c r="AR46" s="85" t="n"/>
      <c r="AS46" s="85" t="n"/>
      <c r="AT46" s="86" t="n"/>
      <c r="AU46" s="57" t="n"/>
      <c r="AV46" s="87" t="n"/>
      <c r="AW46" s="88">
        <f>IF(J46&lt;&gt;" ",VLOOKUP(J46,lista_labores,4,FALSE),"  ")</f>
        <v/>
      </c>
      <c r="AX46" s="88">
        <f>+AW46*L46</f>
        <v/>
      </c>
      <c r="AY46" s="103" t="n"/>
      <c r="BF46" s="134" t="n"/>
    </row>
    <row r="47" ht="13" customHeight="1">
      <c r="B47" s="89" t="n"/>
      <c r="C47" s="90">
        <f>IFERROR(VLOOKUP(D47,lista_trabajadores!B:E,4,FALSE),"")</f>
        <v/>
      </c>
      <c r="D47" s="144" t="n"/>
      <c r="E47" s="198" t="n"/>
      <c r="F47" s="199" t="n"/>
      <c r="G47" s="91" t="n"/>
      <c r="H47" s="96" t="n"/>
      <c r="I47" s="92" t="n"/>
      <c r="J47" s="90">
        <f>IFERROR(VLOOKUP($K47,Tabla1[[NOMBRE]:[CODIGO2]],4,0),"")</f>
        <v/>
      </c>
      <c r="K47" s="27" t="n"/>
      <c r="L47" s="93">
        <f>SUMIF($O$11:$AB$11,"Area Lote",$O47:$AB47)</f>
        <v/>
      </c>
      <c r="M47" s="94" t="n"/>
      <c r="N47" s="94" t="n"/>
      <c r="O47" s="100" t="n"/>
      <c r="P47" s="101" t="n"/>
      <c r="Q47" s="102" t="n"/>
      <c r="R47" s="102" t="n"/>
      <c r="S47" s="100" t="n"/>
      <c r="T47" s="101" t="n"/>
      <c r="U47" s="102" t="n"/>
      <c r="V47" s="102" t="n"/>
      <c r="W47" s="100" t="n"/>
      <c r="X47" s="101" t="n"/>
      <c r="Y47" s="102" t="n"/>
      <c r="Z47" s="102" t="n"/>
      <c r="AA47" s="100" t="n"/>
      <c r="AB47" s="101" t="n"/>
      <c r="AC47" s="85" t="n"/>
      <c r="AD47" s="85" t="n"/>
      <c r="AE47" s="85" t="n"/>
      <c r="AF47" s="85" t="n"/>
      <c r="AG47" s="85" t="n"/>
      <c r="AH47" s="85" t="n"/>
      <c r="AI47" s="85" t="n"/>
      <c r="AJ47" s="85" t="n"/>
      <c r="AK47" s="85" t="n"/>
      <c r="AL47" s="85" t="n"/>
      <c r="AM47" s="85" t="n"/>
      <c r="AN47" s="85" t="n"/>
      <c r="AO47" s="85" t="n"/>
      <c r="AP47" s="85" t="n"/>
      <c r="AQ47" s="85" t="n"/>
      <c r="AR47" s="85" t="n"/>
      <c r="AS47" s="85" t="n"/>
      <c r="AT47" s="86" t="n"/>
      <c r="AU47" s="57" t="n"/>
      <c r="AV47" s="87" t="n"/>
      <c r="AW47" s="88">
        <f>IF(J47&lt;&gt;" ",VLOOKUP(J47,lista_labores,4,FALSE),"  ")</f>
        <v/>
      </c>
      <c r="AX47" s="88">
        <f>+AW47*L47</f>
        <v/>
      </c>
      <c r="AY47" s="103" t="n"/>
      <c r="BF47" s="134" t="n"/>
    </row>
    <row r="48" ht="13" customHeight="1">
      <c r="B48" s="89" t="n"/>
      <c r="C48" s="90">
        <f>IFERROR(VLOOKUP(D48,lista_trabajadores!B:E,4,FALSE),"")</f>
        <v/>
      </c>
      <c r="D48" s="144" t="n"/>
      <c r="E48" s="198" t="n"/>
      <c r="F48" s="199" t="n"/>
      <c r="G48" s="91" t="n"/>
      <c r="H48" s="96" t="n"/>
      <c r="I48" s="92" t="n"/>
      <c r="J48" s="90">
        <f>IFERROR(VLOOKUP($K48,Tabla1[[NOMBRE]:[CODIGO2]],4,0),"")</f>
        <v/>
      </c>
      <c r="K48" s="27" t="n"/>
      <c r="L48" s="93">
        <f>SUMIF($O$11:$AB$11,"Area Lote",$O48:$AB48)</f>
        <v/>
      </c>
      <c r="M48" s="94" t="n"/>
      <c r="N48" s="94" t="n"/>
      <c r="O48" s="100" t="n"/>
      <c r="P48" s="101" t="n"/>
      <c r="Q48" s="102" t="n"/>
      <c r="R48" s="102" t="n"/>
      <c r="S48" s="100" t="n"/>
      <c r="T48" s="101" t="n"/>
      <c r="U48" s="102" t="n"/>
      <c r="V48" s="102" t="n"/>
      <c r="W48" s="100" t="n"/>
      <c r="X48" s="101" t="n"/>
      <c r="Y48" s="102" t="n"/>
      <c r="Z48" s="102" t="n"/>
      <c r="AA48" s="100" t="n"/>
      <c r="AB48" s="101" t="n"/>
      <c r="AC48" s="85" t="n"/>
      <c r="AD48" s="85" t="n"/>
      <c r="AE48" s="85" t="n"/>
      <c r="AF48" s="85" t="n"/>
      <c r="AG48" s="85" t="n"/>
      <c r="AH48" s="85" t="n"/>
      <c r="AI48" s="85" t="n"/>
      <c r="AJ48" s="85" t="n"/>
      <c r="AK48" s="85" t="n"/>
      <c r="AL48" s="85" t="n"/>
      <c r="AM48" s="85" t="n"/>
      <c r="AN48" s="85" t="n"/>
      <c r="AO48" s="85" t="n"/>
      <c r="AP48" s="85" t="n"/>
      <c r="AQ48" s="85" t="n"/>
      <c r="AR48" s="85" t="n"/>
      <c r="AS48" s="85" t="n"/>
      <c r="AT48" s="86" t="n"/>
      <c r="AU48" s="57" t="n"/>
      <c r="AV48" s="87" t="n"/>
      <c r="AW48" s="88">
        <f>IF(J48&lt;&gt;" ",VLOOKUP(J48,lista_labores,4,FALSE),"  ")</f>
        <v/>
      </c>
      <c r="AX48" s="88">
        <f>+AW48*L48</f>
        <v/>
      </c>
      <c r="AY48" s="103" t="n"/>
      <c r="BF48" s="134" t="n"/>
    </row>
    <row r="49" ht="13" customHeight="1">
      <c r="B49" s="89" t="n"/>
      <c r="C49" s="90">
        <f>IFERROR(VLOOKUP(D49,lista_trabajadores!B:E,4,FALSE),"")</f>
        <v/>
      </c>
      <c r="D49" s="144" t="n"/>
      <c r="E49" s="198" t="n"/>
      <c r="F49" s="199" t="n"/>
      <c r="G49" s="91" t="n"/>
      <c r="H49" s="96" t="n"/>
      <c r="I49" s="92" t="n"/>
      <c r="J49" s="90">
        <f>IFERROR(VLOOKUP($K49,Tabla1[[NOMBRE]:[CODIGO2]],4,0),"")</f>
        <v/>
      </c>
      <c r="K49" s="27" t="n"/>
      <c r="L49" s="93">
        <f>SUMIF($O$11:$AB$11,"Area Lote",$O49:$AB49)</f>
        <v/>
      </c>
      <c r="M49" s="94" t="n"/>
      <c r="N49" s="94" t="n"/>
      <c r="O49" s="100" t="n"/>
      <c r="P49" s="101" t="n"/>
      <c r="Q49" s="102" t="n"/>
      <c r="R49" s="102" t="n"/>
      <c r="S49" s="100" t="n"/>
      <c r="T49" s="101" t="n"/>
      <c r="U49" s="102" t="n"/>
      <c r="V49" s="102" t="n"/>
      <c r="W49" s="100" t="n"/>
      <c r="X49" s="101" t="n"/>
      <c r="Y49" s="102" t="n"/>
      <c r="Z49" s="102" t="n"/>
      <c r="AA49" s="100" t="n"/>
      <c r="AB49" s="101" t="n"/>
      <c r="AC49" s="85" t="n"/>
      <c r="AD49" s="85" t="n"/>
      <c r="AE49" s="85" t="n"/>
      <c r="AF49" s="85" t="n"/>
      <c r="AG49" s="85" t="n"/>
      <c r="AH49" s="85" t="n"/>
      <c r="AI49" s="85" t="n"/>
      <c r="AJ49" s="85" t="n"/>
      <c r="AK49" s="85" t="n"/>
      <c r="AL49" s="85" t="n"/>
      <c r="AM49" s="85" t="n"/>
      <c r="AN49" s="85" t="n"/>
      <c r="AO49" s="85" t="n"/>
      <c r="AP49" s="85" t="n"/>
      <c r="AQ49" s="85" t="n"/>
      <c r="AR49" s="85" t="n"/>
      <c r="AS49" s="85" t="n"/>
      <c r="AT49" s="86" t="n"/>
      <c r="AU49" s="57" t="n"/>
      <c r="AV49" s="87" t="n"/>
      <c r="AW49" s="88">
        <f>IF(J49&lt;&gt;" ",VLOOKUP(J49,lista_labores,4,FALSE),"  ")</f>
        <v/>
      </c>
      <c r="AX49" s="88">
        <f>+AW49*L49</f>
        <v/>
      </c>
      <c r="AY49" s="103" t="n"/>
      <c r="BF49" s="134" t="n"/>
    </row>
    <row r="50" ht="13" customHeight="1">
      <c r="B50" s="89" t="n"/>
      <c r="C50" s="90">
        <f>IFERROR(VLOOKUP(D50,lista_trabajadores!B:E,4,FALSE),"")</f>
        <v/>
      </c>
      <c r="D50" s="144" t="n"/>
      <c r="E50" s="198" t="n"/>
      <c r="F50" s="199" t="n"/>
      <c r="G50" s="91" t="n"/>
      <c r="H50" s="96" t="n"/>
      <c r="I50" s="92" t="n"/>
      <c r="J50" s="90">
        <f>IFERROR(VLOOKUP($K50,Tabla1[[NOMBRE]:[CODIGO2]],4,0),"")</f>
        <v/>
      </c>
      <c r="K50" s="27" t="n"/>
      <c r="L50" s="93">
        <f>SUMIF($O$11:$AB$11,"Area Lote",$O50:$AB50)</f>
        <v/>
      </c>
      <c r="M50" s="94" t="n"/>
      <c r="N50" s="94" t="n"/>
      <c r="O50" s="100" t="n"/>
      <c r="P50" s="101" t="n"/>
      <c r="Q50" s="102" t="n"/>
      <c r="R50" s="102" t="n"/>
      <c r="S50" s="100" t="n"/>
      <c r="T50" s="101" t="n"/>
      <c r="U50" s="102" t="n"/>
      <c r="V50" s="102" t="n"/>
      <c r="W50" s="100" t="n"/>
      <c r="X50" s="101" t="n"/>
      <c r="Y50" s="102" t="n"/>
      <c r="Z50" s="102" t="n"/>
      <c r="AA50" s="100" t="n"/>
      <c r="AB50" s="101" t="n"/>
      <c r="AC50" s="85" t="n"/>
      <c r="AD50" s="85" t="n"/>
      <c r="AE50" s="85" t="n"/>
      <c r="AF50" s="85" t="n"/>
      <c r="AG50" s="85" t="n"/>
      <c r="AH50" s="85" t="n"/>
      <c r="AI50" s="85" t="n"/>
      <c r="AJ50" s="85" t="n"/>
      <c r="AK50" s="85" t="n"/>
      <c r="AL50" s="85" t="n"/>
      <c r="AM50" s="85" t="n"/>
      <c r="AN50" s="85" t="n"/>
      <c r="AO50" s="85" t="n"/>
      <c r="AP50" s="85" t="n"/>
      <c r="AQ50" s="85" t="n"/>
      <c r="AR50" s="85" t="n"/>
      <c r="AS50" s="85" t="n"/>
      <c r="AT50" s="86" t="n"/>
      <c r="AU50" s="57" t="n"/>
      <c r="AV50" s="87" t="n"/>
      <c r="AW50" s="88">
        <f>IF(J50&lt;&gt;" ",VLOOKUP(J50,lista_labores,4,FALSE),"  ")</f>
        <v/>
      </c>
      <c r="AX50" s="88">
        <f>+AW50*L50</f>
        <v/>
      </c>
      <c r="AY50" s="103" t="n"/>
      <c r="BF50" s="134" t="n"/>
    </row>
    <row r="51" ht="13" customHeight="1">
      <c r="B51" s="89" t="n"/>
      <c r="C51" s="90">
        <f>IFERROR(VLOOKUP(D51,lista_trabajadores!B:E,4,FALSE),"")</f>
        <v/>
      </c>
      <c r="D51" s="144" t="n"/>
      <c r="E51" s="198" t="n"/>
      <c r="F51" s="199" t="n"/>
      <c r="G51" s="91" t="n"/>
      <c r="H51" s="96" t="n"/>
      <c r="I51" s="92" t="n"/>
      <c r="J51" s="90">
        <f>IFERROR(VLOOKUP($K51,Tabla1[[NOMBRE]:[CODIGO2]],4,0),"")</f>
        <v/>
      </c>
      <c r="K51" s="27" t="n"/>
      <c r="L51" s="93">
        <f>SUMIF($O$11:$AB$11,"Area Lote",$O51:$AB51)</f>
        <v/>
      </c>
      <c r="M51" s="94" t="n"/>
      <c r="N51" s="94" t="n"/>
      <c r="O51" s="100" t="n"/>
      <c r="P51" s="101" t="n"/>
      <c r="Q51" s="102" t="n"/>
      <c r="R51" s="102" t="n"/>
      <c r="S51" s="100" t="n"/>
      <c r="T51" s="101" t="n"/>
      <c r="U51" s="102" t="n"/>
      <c r="V51" s="102" t="n"/>
      <c r="W51" s="100" t="n"/>
      <c r="X51" s="101" t="n"/>
      <c r="Y51" s="102" t="n"/>
      <c r="Z51" s="102" t="n"/>
      <c r="AA51" s="100" t="n"/>
      <c r="AB51" s="101" t="n"/>
      <c r="AC51" s="85" t="n"/>
      <c r="AD51" s="85" t="n"/>
      <c r="AE51" s="85" t="n"/>
      <c r="AF51" s="85" t="n"/>
      <c r="AG51" s="85" t="n"/>
      <c r="AH51" s="85" t="n"/>
      <c r="AI51" s="85" t="n"/>
      <c r="AJ51" s="85" t="n"/>
      <c r="AK51" s="85" t="n"/>
      <c r="AL51" s="85" t="n"/>
      <c r="AM51" s="85" t="n"/>
      <c r="AN51" s="85" t="n"/>
      <c r="AO51" s="85" t="n"/>
      <c r="AP51" s="85" t="n"/>
      <c r="AQ51" s="85" t="n"/>
      <c r="AR51" s="85" t="n"/>
      <c r="AS51" s="85" t="n"/>
      <c r="AT51" s="86" t="n"/>
      <c r="AU51" s="57" t="n"/>
      <c r="AV51" s="87" t="n"/>
      <c r="AW51" s="88">
        <f>IF(J51&lt;&gt;" ",VLOOKUP(J51,lista_labores,4,FALSE),"  ")</f>
        <v/>
      </c>
      <c r="AX51" s="88">
        <f>+AW51*L51</f>
        <v/>
      </c>
      <c r="AY51" s="103" t="n"/>
      <c r="BF51" s="134" t="n"/>
    </row>
    <row r="52" ht="13" customHeight="1">
      <c r="B52" s="89" t="n"/>
      <c r="C52" s="90">
        <f>IFERROR(VLOOKUP(D52,lista_trabajadores!B:E,4,FALSE),"")</f>
        <v/>
      </c>
      <c r="D52" s="144" t="n"/>
      <c r="E52" s="198" t="n"/>
      <c r="F52" s="199" t="n"/>
      <c r="G52" s="91" t="n"/>
      <c r="H52" s="96" t="n"/>
      <c r="I52" s="92" t="n"/>
      <c r="J52" s="90">
        <f>IFERROR(VLOOKUP($K52,Tabla1[[NOMBRE]:[CODIGO2]],4,0),"")</f>
        <v/>
      </c>
      <c r="K52" s="27" t="n"/>
      <c r="L52" s="93">
        <f>SUMIF($O$11:$AB$11,"Area Lote",$O52:$AB52)</f>
        <v/>
      </c>
      <c r="M52" s="94" t="n"/>
      <c r="N52" s="94" t="n"/>
      <c r="O52" s="100" t="n"/>
      <c r="P52" s="101" t="n"/>
      <c r="Q52" s="102" t="n"/>
      <c r="R52" s="102" t="n"/>
      <c r="S52" s="100" t="n"/>
      <c r="T52" s="101" t="n"/>
      <c r="U52" s="102" t="n"/>
      <c r="V52" s="102" t="n"/>
      <c r="W52" s="100" t="n"/>
      <c r="X52" s="101" t="n"/>
      <c r="Y52" s="102" t="n"/>
      <c r="Z52" s="102" t="n"/>
      <c r="AA52" s="100" t="n"/>
      <c r="AB52" s="101" t="n"/>
      <c r="AC52" s="85" t="n"/>
      <c r="AD52" s="85" t="n"/>
      <c r="AE52" s="85" t="n"/>
      <c r="AF52" s="85" t="n"/>
      <c r="AG52" s="85" t="n"/>
      <c r="AH52" s="85" t="n"/>
      <c r="AI52" s="85" t="n"/>
      <c r="AJ52" s="85" t="n"/>
      <c r="AK52" s="85" t="n"/>
      <c r="AL52" s="85" t="n"/>
      <c r="AM52" s="85" t="n"/>
      <c r="AN52" s="85" t="n"/>
      <c r="AO52" s="85" t="n"/>
      <c r="AP52" s="85" t="n"/>
      <c r="AQ52" s="85" t="n"/>
      <c r="AR52" s="85" t="n"/>
      <c r="AS52" s="85" t="n"/>
      <c r="AT52" s="86" t="n"/>
      <c r="AU52" s="57" t="n"/>
      <c r="AV52" s="87" t="n"/>
      <c r="AW52" s="88">
        <f>IF(J52&lt;&gt;" ",VLOOKUP(J52,lista_labores,4,FALSE),"  ")</f>
        <v/>
      </c>
      <c r="AX52" s="88">
        <f>+AW52*L52</f>
        <v/>
      </c>
      <c r="AY52" s="103" t="n"/>
      <c r="BF52" s="134" t="n"/>
    </row>
    <row r="53" ht="13" customHeight="1">
      <c r="B53" s="89" t="n"/>
      <c r="C53" s="90">
        <f>IFERROR(VLOOKUP(D53,lista_trabajadores!B:E,4,FALSE),"")</f>
        <v/>
      </c>
      <c r="D53" s="144" t="n"/>
      <c r="E53" s="198" t="n"/>
      <c r="F53" s="199" t="n"/>
      <c r="G53" s="91" t="n"/>
      <c r="H53" s="96" t="n"/>
      <c r="I53" s="92" t="n"/>
      <c r="J53" s="90">
        <f>IFERROR(VLOOKUP($K53,Tabla1[[NOMBRE]:[CODIGO2]],4,0),"")</f>
        <v/>
      </c>
      <c r="K53" s="27" t="n"/>
      <c r="L53" s="93">
        <f>SUMIF($O$11:$AB$11,"Area Lote",$O53:$AB53)</f>
        <v/>
      </c>
      <c r="M53" s="94" t="n"/>
      <c r="N53" s="94" t="n"/>
      <c r="O53" s="100" t="n"/>
      <c r="P53" s="101" t="n"/>
      <c r="Q53" s="102" t="n"/>
      <c r="R53" s="102" t="n"/>
      <c r="S53" s="100" t="n"/>
      <c r="T53" s="101" t="n"/>
      <c r="U53" s="102" t="n"/>
      <c r="V53" s="102" t="n"/>
      <c r="W53" s="100" t="n"/>
      <c r="X53" s="101" t="n"/>
      <c r="Y53" s="102" t="n"/>
      <c r="Z53" s="102" t="n"/>
      <c r="AA53" s="100" t="n"/>
      <c r="AB53" s="101" t="n"/>
      <c r="AC53" s="85" t="n"/>
      <c r="AD53" s="85" t="n"/>
      <c r="AE53" s="85" t="n"/>
      <c r="AF53" s="85" t="n"/>
      <c r="AG53" s="85" t="n"/>
      <c r="AH53" s="85" t="n"/>
      <c r="AI53" s="85" t="n"/>
      <c r="AJ53" s="85" t="n"/>
      <c r="AK53" s="85" t="n"/>
      <c r="AL53" s="85" t="n"/>
      <c r="AM53" s="85" t="n"/>
      <c r="AN53" s="85" t="n"/>
      <c r="AO53" s="85" t="n"/>
      <c r="AP53" s="85" t="n"/>
      <c r="AQ53" s="85" t="n"/>
      <c r="AR53" s="85" t="n"/>
      <c r="AS53" s="85" t="n"/>
      <c r="AT53" s="86" t="n"/>
      <c r="AU53" s="57" t="n"/>
      <c r="AV53" s="87" t="n"/>
      <c r="AW53" s="88">
        <f>IF(J53&lt;&gt;" ",VLOOKUP(J53,lista_labores,4,FALSE),"  ")</f>
        <v/>
      </c>
      <c r="AX53" s="88">
        <f>+AW53*L53</f>
        <v/>
      </c>
      <c r="AY53" s="103" t="n"/>
      <c r="BF53" s="134" t="n"/>
    </row>
    <row r="54" ht="13" customHeight="1">
      <c r="B54" s="89" t="n"/>
      <c r="C54" s="90">
        <f>IFERROR(VLOOKUP(D54,lista_trabajadores!B:E,4,FALSE),"")</f>
        <v/>
      </c>
      <c r="D54" s="144" t="n"/>
      <c r="E54" s="198" t="n"/>
      <c r="F54" s="199" t="n"/>
      <c r="G54" s="91" t="n"/>
      <c r="H54" s="96" t="n"/>
      <c r="I54" s="92" t="n"/>
      <c r="J54" s="90">
        <f>IFERROR(VLOOKUP($K54,Tabla1[[NOMBRE]:[CODIGO2]],4,0),"")</f>
        <v/>
      </c>
      <c r="K54" s="27" t="n"/>
      <c r="L54" s="93">
        <f>SUMIF($O$11:$AB$11,"Area Lote",$O54:$AB54)</f>
        <v/>
      </c>
      <c r="M54" s="94" t="n"/>
      <c r="N54" s="94" t="n"/>
      <c r="O54" s="100" t="n"/>
      <c r="P54" s="101" t="n"/>
      <c r="Q54" s="102" t="n"/>
      <c r="R54" s="102" t="n"/>
      <c r="S54" s="100" t="n"/>
      <c r="T54" s="101" t="n"/>
      <c r="U54" s="102" t="n"/>
      <c r="V54" s="102" t="n"/>
      <c r="W54" s="100" t="n"/>
      <c r="X54" s="101" t="n"/>
      <c r="Y54" s="102" t="n"/>
      <c r="Z54" s="102" t="n"/>
      <c r="AA54" s="100" t="n"/>
      <c r="AB54" s="101" t="n"/>
      <c r="AC54" s="85" t="n"/>
      <c r="AD54" s="85" t="n"/>
      <c r="AE54" s="85" t="n"/>
      <c r="AF54" s="85" t="n"/>
      <c r="AG54" s="85" t="n"/>
      <c r="AH54" s="85" t="n"/>
      <c r="AI54" s="85" t="n"/>
      <c r="AJ54" s="85" t="n"/>
      <c r="AK54" s="85" t="n"/>
      <c r="AL54" s="85" t="n"/>
      <c r="AM54" s="85" t="n"/>
      <c r="AN54" s="85" t="n"/>
      <c r="AO54" s="85" t="n"/>
      <c r="AP54" s="85" t="n"/>
      <c r="AQ54" s="85" t="n"/>
      <c r="AR54" s="85" t="n"/>
      <c r="AS54" s="85" t="n"/>
      <c r="AT54" s="86" t="n"/>
      <c r="AU54" s="57" t="n"/>
      <c r="AV54" s="87" t="n"/>
      <c r="AW54" s="88">
        <f>IF(J54&lt;&gt;" ",VLOOKUP(J54,lista_labores,4,FALSE),"  ")</f>
        <v/>
      </c>
      <c r="AX54" s="88">
        <f>+AW54*L54</f>
        <v/>
      </c>
      <c r="AY54" s="103" t="n"/>
      <c r="BF54" s="134" t="n"/>
    </row>
    <row r="55" ht="13" customHeight="1">
      <c r="B55" s="89" t="n"/>
      <c r="C55" s="90">
        <f>IFERROR(VLOOKUP(D55,lista_trabajadores!B:E,4,FALSE),"")</f>
        <v/>
      </c>
      <c r="D55" s="144" t="n"/>
      <c r="E55" s="198" t="n"/>
      <c r="F55" s="199" t="n"/>
      <c r="G55" s="91" t="n"/>
      <c r="H55" s="96" t="n"/>
      <c r="I55" s="92" t="n"/>
      <c r="J55" s="90">
        <f>IFERROR(VLOOKUP($K55,Tabla1[[NOMBRE]:[CODIGO2]],4,0),"")</f>
        <v/>
      </c>
      <c r="K55" s="27" t="n"/>
      <c r="L55" s="93">
        <f>SUMIF($O$11:$AB$11,"Area Lote",$O55:$AB55)</f>
        <v/>
      </c>
      <c r="M55" s="94" t="n"/>
      <c r="N55" s="94" t="n"/>
      <c r="O55" s="100" t="n"/>
      <c r="P55" s="101" t="n"/>
      <c r="Q55" s="102" t="n"/>
      <c r="R55" s="102" t="n"/>
      <c r="S55" s="100" t="n"/>
      <c r="T55" s="101" t="n"/>
      <c r="U55" s="102" t="n"/>
      <c r="V55" s="102" t="n"/>
      <c r="W55" s="100" t="n"/>
      <c r="X55" s="101" t="n"/>
      <c r="Y55" s="102" t="n"/>
      <c r="Z55" s="102" t="n"/>
      <c r="AA55" s="100" t="n"/>
      <c r="AB55" s="101" t="n"/>
      <c r="AC55" s="85" t="n"/>
      <c r="AD55" s="85" t="n"/>
      <c r="AE55" s="85" t="n"/>
      <c r="AF55" s="85" t="n"/>
      <c r="AG55" s="85" t="n"/>
      <c r="AH55" s="85" t="n"/>
      <c r="AI55" s="85" t="n"/>
      <c r="AJ55" s="85" t="n"/>
      <c r="AK55" s="85" t="n"/>
      <c r="AL55" s="85" t="n"/>
      <c r="AM55" s="85" t="n"/>
      <c r="AN55" s="85" t="n"/>
      <c r="AO55" s="85" t="n"/>
      <c r="AP55" s="85" t="n"/>
      <c r="AQ55" s="85" t="n"/>
      <c r="AR55" s="85" t="n"/>
      <c r="AS55" s="85" t="n"/>
      <c r="AT55" s="86" t="n"/>
      <c r="AU55" s="57" t="n"/>
      <c r="AV55" s="87" t="n"/>
      <c r="AW55" s="88">
        <f>IF(J55&lt;&gt;" ",VLOOKUP(J55,lista_labores,4,FALSE),"  ")</f>
        <v/>
      </c>
      <c r="AX55" s="88">
        <f>+AW55*L55</f>
        <v/>
      </c>
      <c r="AY55" s="103" t="n"/>
      <c r="BF55" s="134" t="n"/>
    </row>
    <row r="56" ht="13" customHeight="1">
      <c r="B56" s="89" t="n"/>
      <c r="C56" s="90">
        <f>IFERROR(VLOOKUP(D56,lista_trabajadores!B:E,4,FALSE),"")</f>
        <v/>
      </c>
      <c r="D56" s="144" t="n"/>
      <c r="E56" s="198" t="n"/>
      <c r="F56" s="199" t="n"/>
      <c r="G56" s="91" t="n"/>
      <c r="H56" s="96" t="n"/>
      <c r="I56" s="92" t="n"/>
      <c r="J56" s="90">
        <f>IFERROR(VLOOKUP($K56,Tabla1[[NOMBRE]:[CODIGO2]],4,0),"")</f>
        <v/>
      </c>
      <c r="K56" s="27" t="n"/>
      <c r="L56" s="93">
        <f>SUMIF($O$11:$AB$11,"Area Lote",$O56:$AB56)</f>
        <v/>
      </c>
      <c r="M56" s="94" t="n"/>
      <c r="N56" s="94" t="n"/>
      <c r="O56" s="100" t="n"/>
      <c r="P56" s="101" t="n"/>
      <c r="Q56" s="102" t="n"/>
      <c r="R56" s="102" t="n"/>
      <c r="S56" s="100" t="n"/>
      <c r="T56" s="101" t="n"/>
      <c r="U56" s="102" t="n"/>
      <c r="V56" s="102" t="n"/>
      <c r="W56" s="100" t="n"/>
      <c r="X56" s="101" t="n"/>
      <c r="Y56" s="102" t="n"/>
      <c r="Z56" s="102" t="n"/>
      <c r="AA56" s="100" t="n"/>
      <c r="AB56" s="101" t="n"/>
      <c r="AC56" s="85" t="n"/>
      <c r="AD56" s="85" t="n"/>
      <c r="AE56" s="85" t="n"/>
      <c r="AF56" s="85" t="n"/>
      <c r="AG56" s="85" t="n"/>
      <c r="AH56" s="85" t="n"/>
      <c r="AI56" s="85" t="n"/>
      <c r="AJ56" s="85" t="n"/>
      <c r="AK56" s="85" t="n"/>
      <c r="AL56" s="85" t="n"/>
      <c r="AM56" s="85" t="n"/>
      <c r="AN56" s="85" t="n"/>
      <c r="AO56" s="85" t="n"/>
      <c r="AP56" s="85" t="n"/>
      <c r="AQ56" s="85" t="n"/>
      <c r="AR56" s="85" t="n"/>
      <c r="AS56" s="85" t="n"/>
      <c r="AT56" s="86" t="n"/>
      <c r="AU56" s="57" t="n"/>
      <c r="AV56" s="87" t="n"/>
      <c r="AW56" s="88">
        <f>IF(J56&lt;&gt;" ",VLOOKUP(J56,lista_labores,4,FALSE),"  ")</f>
        <v/>
      </c>
      <c r="AX56" s="88">
        <f>+AW56*L56</f>
        <v/>
      </c>
      <c r="AY56" s="103" t="n"/>
      <c r="BF56" s="134" t="n"/>
    </row>
    <row r="57" ht="13" customHeight="1">
      <c r="B57" s="89" t="n"/>
      <c r="C57" s="90">
        <f>IFERROR(VLOOKUP(D57,lista_trabajadores!B:E,4,FALSE),"")</f>
        <v/>
      </c>
      <c r="D57" s="144" t="n"/>
      <c r="E57" s="198" t="n"/>
      <c r="F57" s="199" t="n"/>
      <c r="G57" s="91" t="n"/>
      <c r="H57" s="96" t="n"/>
      <c r="I57" s="92" t="n"/>
      <c r="J57" s="90">
        <f>IFERROR(VLOOKUP($K57,Tabla1[[NOMBRE]:[CODIGO2]],4,0),"")</f>
        <v/>
      </c>
      <c r="K57" s="27" t="n"/>
      <c r="L57" s="93">
        <f>SUMIF($O$11:$AB$11,"Area Lote",$O57:$AB57)</f>
        <v/>
      </c>
      <c r="M57" s="94" t="n"/>
      <c r="N57" s="94" t="n"/>
      <c r="O57" s="100" t="n"/>
      <c r="P57" s="101" t="n"/>
      <c r="Q57" s="102" t="n"/>
      <c r="R57" s="102" t="n"/>
      <c r="S57" s="100" t="n"/>
      <c r="T57" s="101" t="n"/>
      <c r="U57" s="102" t="n"/>
      <c r="V57" s="102" t="n"/>
      <c r="W57" s="100" t="n"/>
      <c r="X57" s="101" t="n"/>
      <c r="Y57" s="102" t="n"/>
      <c r="Z57" s="102" t="n"/>
      <c r="AA57" s="100" t="n"/>
      <c r="AB57" s="101" t="n"/>
      <c r="AC57" s="85" t="n"/>
      <c r="AD57" s="85" t="n"/>
      <c r="AE57" s="85" t="n"/>
      <c r="AF57" s="85" t="n"/>
      <c r="AG57" s="85" t="n"/>
      <c r="AH57" s="85" t="n"/>
      <c r="AI57" s="85" t="n"/>
      <c r="AJ57" s="85" t="n"/>
      <c r="AK57" s="85" t="n"/>
      <c r="AL57" s="85" t="n"/>
      <c r="AM57" s="85" t="n"/>
      <c r="AN57" s="85" t="n"/>
      <c r="AO57" s="85" t="n"/>
      <c r="AP57" s="85" t="n"/>
      <c r="AQ57" s="85" t="n"/>
      <c r="AR57" s="85" t="n"/>
      <c r="AS57" s="85" t="n"/>
      <c r="AT57" s="86" t="n"/>
      <c r="AU57" s="57" t="n"/>
      <c r="AV57" s="87" t="n"/>
      <c r="AW57" s="88">
        <f>IF(J57&lt;&gt;" ",VLOOKUP(J57,lista_labores,4,FALSE),"  ")</f>
        <v/>
      </c>
      <c r="AX57" s="88">
        <f>+AW57*L57</f>
        <v/>
      </c>
      <c r="AY57" s="103" t="n"/>
      <c r="BF57" s="134" t="n"/>
    </row>
    <row r="58" ht="13" customHeight="1">
      <c r="B58" s="89" t="n"/>
      <c r="C58" s="90">
        <f>IFERROR(VLOOKUP(D58,lista_trabajadores!B:E,4,FALSE),"")</f>
        <v/>
      </c>
      <c r="D58" s="144" t="n"/>
      <c r="E58" s="198" t="n"/>
      <c r="F58" s="199" t="n"/>
      <c r="G58" s="91" t="n"/>
      <c r="H58" s="96" t="n"/>
      <c r="I58" s="92" t="n"/>
      <c r="J58" s="90">
        <f>IFERROR(VLOOKUP($K58,Tabla1[[NOMBRE]:[CODIGO2]],4,0),"")</f>
        <v/>
      </c>
      <c r="K58" s="27" t="n"/>
      <c r="L58" s="93">
        <f>SUMIF($O$11:$AB$11,"Area Lote",$O58:$AB58)</f>
        <v/>
      </c>
      <c r="M58" s="94" t="n"/>
      <c r="N58" s="94" t="n"/>
      <c r="O58" s="100" t="n"/>
      <c r="P58" s="101" t="n"/>
      <c r="Q58" s="102" t="n"/>
      <c r="R58" s="102" t="n"/>
      <c r="S58" s="100" t="n"/>
      <c r="T58" s="101" t="n"/>
      <c r="U58" s="102" t="n"/>
      <c r="V58" s="102" t="n"/>
      <c r="W58" s="100" t="n"/>
      <c r="X58" s="101" t="n"/>
      <c r="Y58" s="102" t="n"/>
      <c r="Z58" s="102" t="n"/>
      <c r="AA58" s="100" t="n"/>
      <c r="AB58" s="101" t="n"/>
      <c r="AC58" s="85" t="n"/>
      <c r="AD58" s="85" t="n"/>
      <c r="AE58" s="85" t="n"/>
      <c r="AF58" s="85" t="n"/>
      <c r="AG58" s="85" t="n"/>
      <c r="AH58" s="85" t="n"/>
      <c r="AI58" s="85" t="n"/>
      <c r="AJ58" s="85" t="n"/>
      <c r="AK58" s="85" t="n"/>
      <c r="AL58" s="85" t="n"/>
      <c r="AM58" s="85" t="n"/>
      <c r="AN58" s="85" t="n"/>
      <c r="AO58" s="85" t="n"/>
      <c r="AP58" s="85" t="n"/>
      <c r="AQ58" s="85" t="n"/>
      <c r="AR58" s="85" t="n"/>
      <c r="AS58" s="85" t="n"/>
      <c r="AT58" s="86" t="n"/>
      <c r="AU58" s="57" t="n"/>
      <c r="AV58" s="87" t="n"/>
      <c r="AW58" s="88">
        <f>IF(J58&lt;&gt;" ",VLOOKUP(J58,lista_labores,4,FALSE),"  ")</f>
        <v/>
      </c>
      <c r="AX58" s="88">
        <f>+AW58*L58</f>
        <v/>
      </c>
      <c r="AY58" s="103" t="n"/>
      <c r="BF58" s="134" t="n"/>
    </row>
    <row r="59" ht="13" customHeight="1">
      <c r="B59" s="89" t="n"/>
      <c r="C59" s="90">
        <f>IFERROR(VLOOKUP(D59,lista_trabajadores!B:E,4,FALSE),"")</f>
        <v/>
      </c>
      <c r="D59" s="144" t="n"/>
      <c r="E59" s="198" t="n"/>
      <c r="F59" s="199" t="n"/>
      <c r="G59" s="91" t="n"/>
      <c r="H59" s="96" t="n"/>
      <c r="I59" s="92" t="n"/>
      <c r="J59" s="90">
        <f>IFERROR(VLOOKUP($K59,Tabla1[[NOMBRE]:[CODIGO2]],4,0),"")</f>
        <v/>
      </c>
      <c r="K59" s="27" t="n"/>
      <c r="L59" s="93">
        <f>SUMIF($O$11:$AB$11,"Area Lote",$O59:$AB59)</f>
        <v/>
      </c>
      <c r="M59" s="94" t="n"/>
      <c r="N59" s="94" t="n"/>
      <c r="O59" s="100" t="n"/>
      <c r="P59" s="101" t="n"/>
      <c r="Q59" s="102" t="n"/>
      <c r="R59" s="102" t="n"/>
      <c r="S59" s="100" t="n"/>
      <c r="T59" s="101" t="n"/>
      <c r="U59" s="102" t="n"/>
      <c r="V59" s="102" t="n"/>
      <c r="W59" s="100" t="n"/>
      <c r="X59" s="101" t="n"/>
      <c r="Y59" s="102" t="n"/>
      <c r="Z59" s="102" t="n"/>
      <c r="AA59" s="100" t="n"/>
      <c r="AB59" s="101" t="n"/>
      <c r="AC59" s="85" t="n"/>
      <c r="AD59" s="85" t="n"/>
      <c r="AE59" s="85" t="n"/>
      <c r="AF59" s="85" t="n"/>
      <c r="AG59" s="85" t="n"/>
      <c r="AH59" s="85" t="n"/>
      <c r="AI59" s="85" t="n"/>
      <c r="AJ59" s="85" t="n"/>
      <c r="AK59" s="85" t="n"/>
      <c r="AL59" s="85" t="n"/>
      <c r="AM59" s="85" t="n"/>
      <c r="AN59" s="85" t="n"/>
      <c r="AO59" s="85" t="n"/>
      <c r="AP59" s="85" t="n"/>
      <c r="AQ59" s="85" t="n"/>
      <c r="AR59" s="85" t="n"/>
      <c r="AS59" s="85" t="n"/>
      <c r="AT59" s="86" t="n"/>
      <c r="AU59" s="57" t="n"/>
      <c r="AV59" s="87" t="n"/>
      <c r="AW59" s="88">
        <f>IF(J59&lt;&gt;" ",VLOOKUP(J59,lista_labores,4,FALSE),"  ")</f>
        <v/>
      </c>
      <c r="AX59" s="88">
        <f>+AW59*L59</f>
        <v/>
      </c>
      <c r="AY59" s="103" t="n"/>
      <c r="BF59" s="134" t="n"/>
    </row>
    <row r="60" ht="13" customHeight="1">
      <c r="B60" s="89" t="n"/>
      <c r="C60" s="90">
        <f>IFERROR(VLOOKUP(D60,lista_trabajadores!B:E,4,FALSE),"")</f>
        <v/>
      </c>
      <c r="D60" s="200" t="n"/>
      <c r="E60" s="198" t="n"/>
      <c r="F60" s="201" t="n"/>
      <c r="G60" s="91" t="n"/>
      <c r="H60" s="96" t="n"/>
      <c r="I60" s="92" t="n"/>
      <c r="J60" s="90">
        <f>IFERROR(VLOOKUP($K60,Tabla1[[NOMBRE]:[CODIGO2]],4,0),"")</f>
        <v/>
      </c>
      <c r="K60" s="27" t="n"/>
      <c r="L60" s="93">
        <f>SUMIF($O$11:$AB$11,"Area Lote",$O60:$AB60)</f>
        <v/>
      </c>
      <c r="M60" s="94" t="n"/>
      <c r="N60" s="94" t="n"/>
      <c r="O60" s="100" t="n"/>
      <c r="P60" s="101" t="n"/>
      <c r="Q60" s="102" t="n"/>
      <c r="R60" s="102" t="n"/>
      <c r="S60" s="100" t="n"/>
      <c r="T60" s="101" t="n"/>
      <c r="U60" s="102" t="n"/>
      <c r="V60" s="102" t="n"/>
      <c r="W60" s="100" t="n"/>
      <c r="X60" s="101" t="n"/>
      <c r="Y60" s="102" t="n"/>
      <c r="Z60" s="102" t="n"/>
      <c r="AA60" s="100" t="n"/>
      <c r="AB60" s="101" t="n"/>
      <c r="AC60" s="85" t="n"/>
      <c r="AD60" s="85" t="n"/>
      <c r="AE60" s="85" t="n"/>
      <c r="AF60" s="85" t="n"/>
      <c r="AG60" s="85" t="n"/>
      <c r="AH60" s="85" t="n"/>
      <c r="AI60" s="85" t="n"/>
      <c r="AJ60" s="85" t="n"/>
      <c r="AK60" s="85" t="n"/>
      <c r="AL60" s="85" t="n"/>
      <c r="AM60" s="85" t="n"/>
      <c r="AN60" s="85" t="n"/>
      <c r="AO60" s="85" t="n"/>
      <c r="AP60" s="85" t="n"/>
      <c r="AQ60" s="85" t="n"/>
      <c r="AR60" s="85" t="n"/>
      <c r="AS60" s="85" t="n"/>
      <c r="AT60" s="86" t="n"/>
      <c r="AU60" s="57" t="n"/>
      <c r="AV60" s="87" t="n"/>
      <c r="AW60" s="88">
        <f>IF(J60&lt;&gt;" ",VLOOKUP(J60,lista_labores,4,FALSE),"  ")</f>
        <v/>
      </c>
      <c r="AX60" s="88">
        <f>+AW60*L60</f>
        <v/>
      </c>
      <c r="AY60" s="103" t="n"/>
      <c r="BF60" s="134" t="n"/>
    </row>
    <row r="61" ht="13" customHeight="1">
      <c r="B61" s="89" t="n"/>
      <c r="C61" s="90">
        <f>IFERROR(VLOOKUP(D61,lista_trabajadores!B:E,4,FALSE),"")</f>
        <v/>
      </c>
      <c r="D61" s="200" t="n"/>
      <c r="E61" s="198" t="n"/>
      <c r="F61" s="201" t="n"/>
      <c r="G61" s="91" t="n"/>
      <c r="H61" s="96" t="n"/>
      <c r="I61" s="92" t="n"/>
      <c r="J61" s="90">
        <f>IFERROR(VLOOKUP($K61,Tabla1[[NOMBRE]:[CODIGO2]],4,0),"")</f>
        <v/>
      </c>
      <c r="K61" s="27" t="n"/>
      <c r="L61" s="93">
        <f>SUMIF($O$11:$AB$11,"Area Lote",$O61:$AB61)</f>
        <v/>
      </c>
      <c r="M61" s="94" t="n"/>
      <c r="N61" s="94" t="n"/>
      <c r="O61" s="100" t="n"/>
      <c r="P61" s="101" t="n"/>
      <c r="Q61" s="102" t="n"/>
      <c r="R61" s="102" t="n"/>
      <c r="S61" s="100" t="n"/>
      <c r="T61" s="101" t="n"/>
      <c r="U61" s="102" t="n"/>
      <c r="V61" s="102" t="n"/>
      <c r="W61" s="100" t="n"/>
      <c r="X61" s="101" t="n"/>
      <c r="Y61" s="102" t="n"/>
      <c r="Z61" s="102" t="n"/>
      <c r="AA61" s="100" t="n"/>
      <c r="AB61" s="101" t="n"/>
      <c r="AC61" s="85" t="n"/>
      <c r="AD61" s="85" t="n"/>
      <c r="AE61" s="85" t="n"/>
      <c r="AF61" s="85" t="n"/>
      <c r="AG61" s="85" t="n"/>
      <c r="AH61" s="85" t="n"/>
      <c r="AI61" s="85" t="n"/>
      <c r="AJ61" s="85" t="n"/>
      <c r="AK61" s="85" t="n"/>
      <c r="AL61" s="85" t="n"/>
      <c r="AM61" s="85" t="n"/>
      <c r="AN61" s="85" t="n"/>
      <c r="AO61" s="85" t="n"/>
      <c r="AP61" s="85" t="n"/>
      <c r="AQ61" s="85" t="n"/>
      <c r="AR61" s="85" t="n"/>
      <c r="AS61" s="85" t="n"/>
      <c r="AT61" s="86" t="n"/>
      <c r="AU61" s="57" t="n"/>
      <c r="AV61" s="87" t="n"/>
      <c r="AW61" s="88">
        <f>IF(J61&lt;&gt;" ",VLOOKUP(J61,lista_labores,4,FALSE),"  ")</f>
        <v/>
      </c>
      <c r="AX61" s="88">
        <f>+AW61*L61</f>
        <v/>
      </c>
      <c r="AY61" s="103" t="n"/>
      <c r="BF61" s="134" t="n"/>
    </row>
    <row r="62" ht="13" customHeight="1">
      <c r="B62" s="89" t="n"/>
      <c r="C62" s="90">
        <f>IFERROR(VLOOKUP(D62,lista_trabajadores!B:E,4,FALSE),"")</f>
        <v/>
      </c>
      <c r="D62" s="200" t="n"/>
      <c r="E62" s="198" t="n"/>
      <c r="F62" s="201" t="n"/>
      <c r="G62" s="91" t="n"/>
      <c r="H62" s="96" t="n"/>
      <c r="I62" s="92" t="n"/>
      <c r="J62" s="90">
        <f>IFERROR(VLOOKUP($K62,Tabla1[[NOMBRE]:[CODIGO2]],4,0),"")</f>
        <v/>
      </c>
      <c r="K62" s="27" t="n"/>
      <c r="L62" s="93">
        <f>SUMIF($O$11:$AB$11,"Area Lote",$O62:$AB62)</f>
        <v/>
      </c>
      <c r="M62" s="94" t="n"/>
      <c r="N62" s="94" t="n"/>
      <c r="O62" s="100" t="n"/>
      <c r="P62" s="101" t="n"/>
      <c r="Q62" s="102" t="n"/>
      <c r="R62" s="102" t="n"/>
      <c r="S62" s="100" t="n"/>
      <c r="T62" s="101" t="n"/>
      <c r="U62" s="102" t="n"/>
      <c r="V62" s="102" t="n"/>
      <c r="W62" s="100" t="n"/>
      <c r="X62" s="101" t="n"/>
      <c r="Y62" s="102" t="n"/>
      <c r="Z62" s="102" t="n"/>
      <c r="AA62" s="100" t="n"/>
      <c r="AB62" s="101" t="n"/>
      <c r="AC62" s="85" t="n"/>
      <c r="AD62" s="85" t="n"/>
      <c r="AE62" s="85" t="n"/>
      <c r="AF62" s="85" t="n"/>
      <c r="AG62" s="85" t="n"/>
      <c r="AH62" s="85" t="n"/>
      <c r="AI62" s="85" t="n"/>
      <c r="AJ62" s="85" t="n"/>
      <c r="AK62" s="85" t="n"/>
      <c r="AL62" s="85" t="n"/>
      <c r="AM62" s="85" t="n"/>
      <c r="AN62" s="85" t="n"/>
      <c r="AO62" s="85" t="n"/>
      <c r="AP62" s="85" t="n"/>
      <c r="AQ62" s="85" t="n"/>
      <c r="AR62" s="85" t="n"/>
      <c r="AS62" s="85" t="n"/>
      <c r="AT62" s="86" t="n"/>
      <c r="AU62" s="57" t="n"/>
      <c r="AV62" s="87" t="n"/>
      <c r="AW62" s="88">
        <f>IF(J62&lt;&gt;" ",VLOOKUP(J62,lista_labores,4,FALSE),"  ")</f>
        <v/>
      </c>
      <c r="AX62" s="88">
        <f>+AW62*L62</f>
        <v/>
      </c>
      <c r="AY62" s="103" t="n"/>
      <c r="BF62" s="134" t="n"/>
    </row>
    <row r="63" ht="13" customHeight="1">
      <c r="B63" s="89" t="n"/>
      <c r="C63" s="90">
        <f>IFERROR(VLOOKUP(D63,lista_trabajadores!B:E,4,FALSE),"")</f>
        <v/>
      </c>
      <c r="D63" s="200" t="n"/>
      <c r="E63" s="198" t="n"/>
      <c r="F63" s="201" t="n"/>
      <c r="G63" s="91" t="n"/>
      <c r="H63" s="96" t="n"/>
      <c r="I63" s="92" t="n"/>
      <c r="J63" s="90">
        <f>IFERROR(VLOOKUP($K63,Tabla1[[NOMBRE]:[CODIGO2]],4,0),"")</f>
        <v/>
      </c>
      <c r="K63" s="27" t="n"/>
      <c r="L63" s="93">
        <f>SUMIF($O$11:$AB$11,"Area Lote",$O63:$AB63)</f>
        <v/>
      </c>
      <c r="M63" s="94" t="n"/>
      <c r="N63" s="94" t="n"/>
      <c r="O63" s="100" t="n"/>
      <c r="P63" s="101" t="n"/>
      <c r="Q63" s="102" t="n"/>
      <c r="R63" s="102" t="n"/>
      <c r="S63" s="100" t="n"/>
      <c r="T63" s="101" t="n"/>
      <c r="U63" s="102" t="n"/>
      <c r="V63" s="102" t="n"/>
      <c r="W63" s="100" t="n"/>
      <c r="X63" s="101" t="n"/>
      <c r="Y63" s="102" t="n"/>
      <c r="Z63" s="102" t="n"/>
      <c r="AA63" s="100" t="n"/>
      <c r="AB63" s="101" t="n"/>
      <c r="AC63" s="85" t="n"/>
      <c r="AD63" s="85" t="n"/>
      <c r="AE63" s="85" t="n"/>
      <c r="AF63" s="85" t="n"/>
      <c r="AG63" s="85" t="n"/>
      <c r="AH63" s="85" t="n"/>
      <c r="AI63" s="85" t="n"/>
      <c r="AJ63" s="85" t="n"/>
      <c r="AK63" s="85" t="n"/>
      <c r="AL63" s="85" t="n"/>
      <c r="AM63" s="85" t="n"/>
      <c r="AN63" s="85" t="n"/>
      <c r="AO63" s="85" t="n"/>
      <c r="AP63" s="85" t="n"/>
      <c r="AQ63" s="85" t="n"/>
      <c r="AR63" s="85" t="n"/>
      <c r="AS63" s="85" t="n"/>
      <c r="AT63" s="86" t="n"/>
      <c r="AU63" s="57" t="n"/>
      <c r="AV63" s="87" t="n"/>
      <c r="AW63" s="88">
        <f>IF(J63&lt;&gt;" ",VLOOKUP(J63,lista_labores,4,FALSE),"  ")</f>
        <v/>
      </c>
      <c r="AX63" s="88">
        <f>+AW63*L63</f>
        <v/>
      </c>
      <c r="AY63" s="103" t="n"/>
      <c r="BF63" s="134" t="n"/>
    </row>
    <row r="64" ht="13" customHeight="1">
      <c r="B64" s="89" t="n"/>
      <c r="C64" s="90">
        <f>IFERROR(VLOOKUP(D64,lista_trabajadores!B:E,4,FALSE),"")</f>
        <v/>
      </c>
      <c r="D64" s="200" t="n"/>
      <c r="E64" s="198" t="n"/>
      <c r="F64" s="201" t="n"/>
      <c r="G64" s="91" t="n"/>
      <c r="H64" s="96" t="n"/>
      <c r="I64" s="92" t="n"/>
      <c r="J64" s="90">
        <f>IFERROR(VLOOKUP($K64,Tabla1[[NOMBRE]:[CODIGO2]],4,0),"")</f>
        <v/>
      </c>
      <c r="K64" s="27" t="n"/>
      <c r="L64" s="93">
        <f>SUMIF($O$11:$AB$11,"Area Lote",$O64:$AB64)</f>
        <v/>
      </c>
      <c r="M64" s="94" t="n"/>
      <c r="N64" s="94" t="n"/>
      <c r="O64" s="100" t="n"/>
      <c r="P64" s="101" t="n"/>
      <c r="Q64" s="102" t="n"/>
      <c r="R64" s="102" t="n"/>
      <c r="S64" s="100" t="n"/>
      <c r="T64" s="101" t="n"/>
      <c r="U64" s="102" t="n"/>
      <c r="V64" s="102" t="n"/>
      <c r="W64" s="100" t="n"/>
      <c r="X64" s="101" t="n"/>
      <c r="Y64" s="102" t="n"/>
      <c r="Z64" s="102" t="n"/>
      <c r="AA64" s="100" t="n"/>
      <c r="AB64" s="101" t="n"/>
      <c r="AC64" s="85" t="n"/>
      <c r="AD64" s="85" t="n"/>
      <c r="AE64" s="85" t="n"/>
      <c r="AF64" s="85" t="n"/>
      <c r="AG64" s="85" t="n"/>
      <c r="AH64" s="85" t="n"/>
      <c r="AI64" s="85" t="n"/>
      <c r="AJ64" s="85" t="n"/>
      <c r="AK64" s="85" t="n"/>
      <c r="AL64" s="85" t="n"/>
      <c r="AM64" s="85" t="n"/>
      <c r="AN64" s="85" t="n"/>
      <c r="AO64" s="85" t="n"/>
      <c r="AP64" s="85" t="n"/>
      <c r="AQ64" s="85" t="n"/>
      <c r="AR64" s="85" t="n"/>
      <c r="AS64" s="85" t="n"/>
      <c r="AT64" s="86" t="n"/>
      <c r="AU64" s="57" t="n"/>
      <c r="AV64" s="87" t="n"/>
      <c r="AW64" s="88">
        <f>IF(J64&lt;&gt;" ",VLOOKUP(J64,lista_labores,4,FALSE),"  ")</f>
        <v/>
      </c>
      <c r="AX64" s="88">
        <f>+AW64*L64</f>
        <v/>
      </c>
      <c r="AY64" s="103" t="n"/>
      <c r="BF64" s="134" t="n"/>
    </row>
    <row r="65" ht="13" customHeight="1">
      <c r="B65" s="89" t="n"/>
      <c r="C65" s="90">
        <f>IFERROR(VLOOKUP(D65,lista_trabajadores!B:E,4,FALSE),"")</f>
        <v/>
      </c>
      <c r="D65" s="200" t="n"/>
      <c r="E65" s="198" t="n"/>
      <c r="F65" s="201" t="n"/>
      <c r="G65" s="91" t="n"/>
      <c r="H65" s="96" t="n"/>
      <c r="I65" s="92" t="n"/>
      <c r="J65" s="90">
        <f>IFERROR(VLOOKUP($K65,Tabla1[[NOMBRE]:[CODIGO2]],4,0),"")</f>
        <v/>
      </c>
      <c r="K65" s="27" t="n"/>
      <c r="L65" s="93">
        <f>SUMIF($O$11:$AB$11,"Area Lote",$O65:$AB65)</f>
        <v/>
      </c>
      <c r="M65" s="94" t="n"/>
      <c r="N65" s="94" t="n"/>
      <c r="O65" s="100" t="n"/>
      <c r="P65" s="101" t="n"/>
      <c r="Q65" s="102" t="n"/>
      <c r="R65" s="102" t="n"/>
      <c r="S65" s="100" t="n"/>
      <c r="T65" s="101" t="n"/>
      <c r="U65" s="102" t="n"/>
      <c r="V65" s="102" t="n"/>
      <c r="W65" s="100" t="n"/>
      <c r="X65" s="101" t="n"/>
      <c r="Y65" s="102" t="n"/>
      <c r="Z65" s="102" t="n"/>
      <c r="AA65" s="100" t="n"/>
      <c r="AB65" s="101" t="n"/>
      <c r="AC65" s="85" t="n"/>
      <c r="AD65" s="85" t="n"/>
      <c r="AE65" s="85" t="n"/>
      <c r="AF65" s="85" t="n"/>
      <c r="AG65" s="85" t="n"/>
      <c r="AH65" s="85" t="n"/>
      <c r="AI65" s="85" t="n"/>
      <c r="AJ65" s="85" t="n"/>
      <c r="AK65" s="85" t="n"/>
      <c r="AL65" s="85" t="n"/>
      <c r="AM65" s="85" t="n"/>
      <c r="AN65" s="85" t="n"/>
      <c r="AO65" s="85" t="n"/>
      <c r="AP65" s="85" t="n"/>
      <c r="AQ65" s="85" t="n"/>
      <c r="AR65" s="85" t="n"/>
      <c r="AS65" s="85" t="n"/>
      <c r="AT65" s="86" t="n"/>
      <c r="AU65" s="57" t="n"/>
      <c r="AV65" s="87" t="n"/>
      <c r="AW65" s="88">
        <f>IF(J65&lt;&gt;" ",VLOOKUP(J65,lista_labores,4,FALSE),"  ")</f>
        <v/>
      </c>
      <c r="AX65" s="88">
        <f>+AW65*L65</f>
        <v/>
      </c>
      <c r="AY65" s="103" t="n"/>
      <c r="BF65" s="134" t="n"/>
    </row>
    <row r="66" ht="13" customHeight="1">
      <c r="B66" s="89" t="n"/>
      <c r="C66" s="90">
        <f>IFERROR(VLOOKUP(D66,lista_trabajadores!B:E,4,FALSE),"")</f>
        <v/>
      </c>
      <c r="D66" s="200" t="n"/>
      <c r="E66" s="198" t="n"/>
      <c r="F66" s="201" t="n"/>
      <c r="G66" s="91" t="n"/>
      <c r="H66" s="96" t="n"/>
      <c r="I66" s="92" t="n"/>
      <c r="J66" s="90">
        <f>IFERROR(VLOOKUP($K66,Tabla1[[NOMBRE]:[CODIGO2]],4,0),"")</f>
        <v/>
      </c>
      <c r="K66" s="27" t="n"/>
      <c r="L66" s="93">
        <f>SUMIF($O$11:$AB$11,"Area Lote",$O66:$AB66)</f>
        <v/>
      </c>
      <c r="M66" s="94" t="n"/>
      <c r="N66" s="94" t="n"/>
      <c r="O66" s="100" t="n"/>
      <c r="P66" s="101" t="n"/>
      <c r="Q66" s="102" t="n"/>
      <c r="R66" s="102" t="n"/>
      <c r="S66" s="100" t="n"/>
      <c r="T66" s="101" t="n"/>
      <c r="U66" s="102" t="n"/>
      <c r="V66" s="102" t="n"/>
      <c r="W66" s="100" t="n"/>
      <c r="X66" s="101" t="n"/>
      <c r="Y66" s="102" t="n"/>
      <c r="Z66" s="102" t="n"/>
      <c r="AA66" s="100" t="n"/>
      <c r="AB66" s="101" t="n"/>
      <c r="AC66" s="85" t="n"/>
      <c r="AD66" s="85" t="n"/>
      <c r="AE66" s="85" t="n"/>
      <c r="AF66" s="85" t="n"/>
      <c r="AG66" s="85" t="n"/>
      <c r="AH66" s="85" t="n"/>
      <c r="AI66" s="85" t="n"/>
      <c r="AJ66" s="85" t="n"/>
      <c r="AK66" s="85" t="n"/>
      <c r="AL66" s="85" t="n"/>
      <c r="AM66" s="85" t="n"/>
      <c r="AN66" s="85" t="n"/>
      <c r="AO66" s="85" t="n"/>
      <c r="AP66" s="85" t="n"/>
      <c r="AQ66" s="85" t="n"/>
      <c r="AR66" s="85" t="n"/>
      <c r="AS66" s="85" t="n"/>
      <c r="AT66" s="86" t="n"/>
      <c r="AU66" s="57" t="n"/>
      <c r="AV66" s="87" t="n"/>
      <c r="AW66" s="88">
        <f>IF(J66&lt;&gt;" ",VLOOKUP(J66,lista_labores,4,FALSE),"  ")</f>
        <v/>
      </c>
      <c r="AX66" s="88">
        <f>+AW66*L66</f>
        <v/>
      </c>
      <c r="AY66" s="103" t="n"/>
      <c r="BF66" s="134" t="n"/>
    </row>
    <row r="67" ht="13" customHeight="1">
      <c r="B67" s="89" t="n"/>
      <c r="C67" s="90">
        <f>IFERROR(VLOOKUP(D67,lista_trabajadores!B:E,4,FALSE),"")</f>
        <v/>
      </c>
      <c r="D67" s="200" t="n"/>
      <c r="E67" s="198" t="n"/>
      <c r="F67" s="201" t="n"/>
      <c r="G67" s="91" t="n"/>
      <c r="H67" s="96" t="n"/>
      <c r="I67" s="92" t="n"/>
      <c r="J67" s="90">
        <f>IFERROR(VLOOKUP($K67,Tabla1[[NOMBRE]:[CODIGO2]],4,0),"")</f>
        <v/>
      </c>
      <c r="K67" s="27" t="n"/>
      <c r="L67" s="93">
        <f>SUMIF($O$11:$AB$11,"Area Lote",$O67:$AB67)</f>
        <v/>
      </c>
      <c r="M67" s="94" t="n"/>
      <c r="N67" s="94" t="n"/>
      <c r="O67" s="100" t="n"/>
      <c r="P67" s="101" t="n"/>
      <c r="Q67" s="102" t="n"/>
      <c r="R67" s="102" t="n"/>
      <c r="S67" s="100" t="n"/>
      <c r="T67" s="101" t="n"/>
      <c r="U67" s="102" t="n"/>
      <c r="V67" s="102" t="n"/>
      <c r="W67" s="100" t="n"/>
      <c r="X67" s="101" t="n"/>
      <c r="Y67" s="102" t="n"/>
      <c r="Z67" s="102" t="n"/>
      <c r="AA67" s="100" t="n"/>
      <c r="AB67" s="101" t="n"/>
      <c r="AC67" s="85" t="n"/>
      <c r="AD67" s="85" t="n"/>
      <c r="AE67" s="85" t="n"/>
      <c r="AF67" s="85" t="n"/>
      <c r="AG67" s="85" t="n"/>
      <c r="AH67" s="85" t="n"/>
      <c r="AI67" s="85" t="n"/>
      <c r="AJ67" s="85" t="n"/>
      <c r="AK67" s="85" t="n"/>
      <c r="AL67" s="85" t="n"/>
      <c r="AM67" s="85" t="n"/>
      <c r="AN67" s="85" t="n"/>
      <c r="AO67" s="85" t="n"/>
      <c r="AP67" s="85" t="n"/>
      <c r="AQ67" s="85" t="n"/>
      <c r="AR67" s="85" t="n"/>
      <c r="AS67" s="85" t="n"/>
      <c r="AT67" s="86" t="n"/>
      <c r="AU67" s="57" t="n"/>
      <c r="AV67" s="87" t="n"/>
      <c r="AW67" s="88">
        <f>IF(J67&lt;&gt;" ",VLOOKUP(J67,lista_labores,4,FALSE),"  ")</f>
        <v/>
      </c>
      <c r="AX67" s="88">
        <f>+AW67*L67</f>
        <v/>
      </c>
      <c r="AY67" s="103" t="n"/>
      <c r="BF67" s="134" t="n"/>
    </row>
    <row r="68" ht="13" customHeight="1">
      <c r="B68" s="89" t="n"/>
      <c r="C68" s="90">
        <f>IFERROR(VLOOKUP(D68,lista_trabajadores!B:E,4,FALSE),"")</f>
        <v/>
      </c>
      <c r="D68" s="200" t="n"/>
      <c r="E68" s="198" t="n"/>
      <c r="F68" s="201" t="n"/>
      <c r="G68" s="91" t="n"/>
      <c r="H68" s="96" t="n"/>
      <c r="I68" s="92" t="n"/>
      <c r="J68" s="90">
        <f>IFERROR(VLOOKUP($K68,Tabla1[[NOMBRE]:[CODIGO2]],4,0),"")</f>
        <v/>
      </c>
      <c r="K68" s="27" t="n"/>
      <c r="L68" s="93">
        <f>SUMIF($O$11:$AB$11,"Area Lote",$O68:$AB68)</f>
        <v/>
      </c>
      <c r="M68" s="94" t="n"/>
      <c r="N68" s="94" t="n"/>
      <c r="O68" s="100" t="n"/>
      <c r="P68" s="101" t="n"/>
      <c r="Q68" s="102" t="n"/>
      <c r="R68" s="102" t="n"/>
      <c r="S68" s="100" t="n"/>
      <c r="T68" s="101" t="n"/>
      <c r="U68" s="102" t="n"/>
      <c r="V68" s="102" t="n"/>
      <c r="W68" s="100" t="n"/>
      <c r="X68" s="101" t="n"/>
      <c r="Y68" s="102" t="n"/>
      <c r="Z68" s="102" t="n"/>
      <c r="AA68" s="100" t="n"/>
      <c r="AB68" s="101" t="n"/>
      <c r="AC68" s="85" t="n"/>
      <c r="AD68" s="85" t="n"/>
      <c r="AE68" s="85" t="n"/>
      <c r="AF68" s="85" t="n"/>
      <c r="AG68" s="85" t="n"/>
      <c r="AH68" s="85" t="n"/>
      <c r="AI68" s="85" t="n"/>
      <c r="AJ68" s="85" t="n"/>
      <c r="AK68" s="85" t="n"/>
      <c r="AL68" s="85" t="n"/>
      <c r="AM68" s="85" t="n"/>
      <c r="AN68" s="85" t="n"/>
      <c r="AO68" s="85" t="n"/>
      <c r="AP68" s="85" t="n"/>
      <c r="AQ68" s="85" t="n"/>
      <c r="AR68" s="85" t="n"/>
      <c r="AS68" s="85" t="n"/>
      <c r="AT68" s="86" t="n"/>
      <c r="AU68" s="57" t="n"/>
      <c r="AV68" s="87" t="n"/>
      <c r="AW68" s="88">
        <f>IF(J68&lt;&gt;" ",VLOOKUP(J68,lista_labores,4,FALSE),"  ")</f>
        <v/>
      </c>
      <c r="AX68" s="88">
        <f>+AW68*L68</f>
        <v/>
      </c>
      <c r="AY68" s="103" t="n"/>
      <c r="BF68" s="134" t="n"/>
    </row>
    <row r="69" ht="13" customHeight="1">
      <c r="B69" s="89" t="n"/>
      <c r="C69" s="90">
        <f>IFERROR(VLOOKUP(D69,lista_trabajadores!B:E,4,FALSE),"")</f>
        <v/>
      </c>
      <c r="D69" s="200" t="n"/>
      <c r="E69" s="198" t="n"/>
      <c r="F69" s="201" t="n"/>
      <c r="G69" s="91" t="n"/>
      <c r="H69" s="96" t="n"/>
      <c r="I69" s="92" t="n"/>
      <c r="J69" s="90">
        <f>IFERROR(VLOOKUP($K69,Tabla1[[NOMBRE]:[CODIGO2]],4,0),"")</f>
        <v/>
      </c>
      <c r="K69" s="27" t="n"/>
      <c r="L69" s="93">
        <f>SUMIF($O$11:$AB$11,"Area Lote",$O69:$AB69)</f>
        <v/>
      </c>
      <c r="M69" s="94" t="n"/>
      <c r="N69" s="94" t="n"/>
      <c r="O69" s="100" t="n"/>
      <c r="P69" s="101" t="n"/>
      <c r="Q69" s="102" t="n"/>
      <c r="R69" s="102" t="n"/>
      <c r="S69" s="100" t="n"/>
      <c r="T69" s="101" t="n"/>
      <c r="U69" s="102" t="n"/>
      <c r="V69" s="102" t="n"/>
      <c r="W69" s="100" t="n"/>
      <c r="X69" s="101" t="n"/>
      <c r="Y69" s="102" t="n"/>
      <c r="Z69" s="102" t="n"/>
      <c r="AA69" s="100" t="n"/>
      <c r="AB69" s="101" t="n"/>
      <c r="AC69" s="85" t="n"/>
      <c r="AD69" s="85" t="n"/>
      <c r="AE69" s="85" t="n"/>
      <c r="AF69" s="85" t="n"/>
      <c r="AG69" s="85" t="n"/>
      <c r="AH69" s="85" t="n"/>
      <c r="AI69" s="85" t="n"/>
      <c r="AJ69" s="85" t="n"/>
      <c r="AK69" s="85" t="n"/>
      <c r="AL69" s="85" t="n"/>
      <c r="AM69" s="85" t="n"/>
      <c r="AN69" s="85" t="n"/>
      <c r="AO69" s="85" t="n"/>
      <c r="AP69" s="85" t="n"/>
      <c r="AQ69" s="85" t="n"/>
      <c r="AR69" s="85" t="n"/>
      <c r="AS69" s="85" t="n"/>
      <c r="AT69" s="86" t="n"/>
      <c r="AU69" s="57" t="n"/>
      <c r="AV69" s="87" t="n"/>
      <c r="AW69" s="88">
        <f>IF(J69&lt;&gt;" ",VLOOKUP(J69,lista_labores,4,FALSE),"  ")</f>
        <v/>
      </c>
      <c r="AX69" s="88">
        <f>+AW69*L69</f>
        <v/>
      </c>
      <c r="AY69" s="103" t="n"/>
      <c r="BF69" s="134" t="n"/>
    </row>
    <row r="70" ht="13" customHeight="1">
      <c r="B70" s="89" t="n"/>
      <c r="C70" s="90">
        <f>IFERROR(VLOOKUP(D70,lista_trabajadores!B:E,4,FALSE),"")</f>
        <v/>
      </c>
      <c r="D70" s="200" t="n"/>
      <c r="E70" s="198" t="n"/>
      <c r="F70" s="201" t="n"/>
      <c r="G70" s="91" t="n"/>
      <c r="H70" s="96" t="n"/>
      <c r="I70" s="92" t="n"/>
      <c r="J70" s="90">
        <f>IFERROR(VLOOKUP($K70,Tabla1[[NOMBRE]:[CODIGO2]],4,0),"")</f>
        <v/>
      </c>
      <c r="K70" s="27" t="n"/>
      <c r="L70" s="93">
        <f>SUMIF($O$11:$AB$11,"Area Lote",$O70:$AB70)</f>
        <v/>
      </c>
      <c r="M70" s="94" t="n"/>
      <c r="N70" s="94" t="n"/>
      <c r="O70" s="100" t="n"/>
      <c r="P70" s="101" t="n"/>
      <c r="Q70" s="102" t="n"/>
      <c r="R70" s="102" t="n"/>
      <c r="S70" s="100" t="n"/>
      <c r="T70" s="101" t="n"/>
      <c r="U70" s="102" t="n"/>
      <c r="V70" s="102" t="n"/>
      <c r="W70" s="100" t="n"/>
      <c r="X70" s="101" t="n"/>
      <c r="Y70" s="102" t="n"/>
      <c r="Z70" s="102" t="n"/>
      <c r="AA70" s="100" t="n"/>
      <c r="AB70" s="101" t="n"/>
      <c r="AC70" s="85" t="n"/>
      <c r="AD70" s="85" t="n"/>
      <c r="AE70" s="85" t="n"/>
      <c r="AF70" s="85" t="n"/>
      <c r="AG70" s="85" t="n"/>
      <c r="AH70" s="85" t="n"/>
      <c r="AI70" s="85" t="n"/>
      <c r="AJ70" s="85" t="n"/>
      <c r="AK70" s="85" t="n"/>
      <c r="AL70" s="85" t="n"/>
      <c r="AM70" s="85" t="n"/>
      <c r="AN70" s="85" t="n"/>
      <c r="AO70" s="85" t="n"/>
      <c r="AP70" s="85" t="n"/>
      <c r="AQ70" s="85" t="n"/>
      <c r="AR70" s="85" t="n"/>
      <c r="AS70" s="85" t="n"/>
      <c r="AT70" s="86" t="n"/>
      <c r="AU70" s="57" t="n"/>
      <c r="AV70" s="87" t="n"/>
      <c r="AW70" s="88">
        <f>IF(J70&lt;&gt;" ",VLOOKUP(J70,lista_labores,4,FALSE),"  ")</f>
        <v/>
      </c>
      <c r="AX70" s="88">
        <f>+AW70*L70</f>
        <v/>
      </c>
      <c r="AY70" s="103" t="n"/>
      <c r="BF70" s="134" t="n"/>
    </row>
    <row r="71" ht="13" customHeight="1">
      <c r="B71" s="89" t="n"/>
      <c r="C71" s="90">
        <f>IFERROR(VLOOKUP(D71,lista_trabajadores!B:E,4,FALSE),"")</f>
        <v/>
      </c>
      <c r="D71" s="200" t="n"/>
      <c r="E71" s="198" t="n"/>
      <c r="F71" s="201" t="n"/>
      <c r="G71" s="91" t="n"/>
      <c r="H71" s="96" t="n"/>
      <c r="I71" s="92" t="n"/>
      <c r="J71" s="90">
        <f>IFERROR(VLOOKUP($K71,Tabla1[[NOMBRE]:[CODIGO2]],4,0),"")</f>
        <v/>
      </c>
      <c r="K71" s="27" t="n"/>
      <c r="L71" s="93">
        <f>SUMIF($O$11:$AB$11,"Area Lote",$O71:$AB71)</f>
        <v/>
      </c>
      <c r="M71" s="94" t="n"/>
      <c r="N71" s="94" t="n"/>
      <c r="O71" s="100" t="n"/>
      <c r="P71" s="101" t="n"/>
      <c r="Q71" s="102" t="n"/>
      <c r="R71" s="102" t="n"/>
      <c r="S71" s="100" t="n"/>
      <c r="T71" s="101" t="n"/>
      <c r="U71" s="102" t="n"/>
      <c r="V71" s="102" t="n"/>
      <c r="W71" s="100" t="n"/>
      <c r="X71" s="101" t="n"/>
      <c r="Y71" s="102" t="n"/>
      <c r="Z71" s="102" t="n"/>
      <c r="AA71" s="100" t="n"/>
      <c r="AB71" s="101" t="n"/>
      <c r="AC71" s="85" t="n"/>
      <c r="AD71" s="85" t="n"/>
      <c r="AE71" s="85" t="n"/>
      <c r="AF71" s="85" t="n"/>
      <c r="AG71" s="85" t="n"/>
      <c r="AH71" s="85" t="n"/>
      <c r="AI71" s="85" t="n"/>
      <c r="AJ71" s="85" t="n"/>
      <c r="AK71" s="85" t="n"/>
      <c r="AL71" s="85" t="n"/>
      <c r="AM71" s="85" t="n"/>
      <c r="AN71" s="85" t="n"/>
      <c r="AO71" s="85" t="n"/>
      <c r="AP71" s="85" t="n"/>
      <c r="AQ71" s="85" t="n"/>
      <c r="AR71" s="85" t="n"/>
      <c r="AS71" s="85" t="n"/>
      <c r="AT71" s="86" t="n"/>
      <c r="AU71" s="57" t="n"/>
      <c r="AV71" s="87" t="n"/>
      <c r="AW71" s="88">
        <f>IF(J71&lt;&gt;" ",VLOOKUP(J71,lista_labores,4,FALSE),"  ")</f>
        <v/>
      </c>
      <c r="AX71" s="88">
        <f>+AW71*L71</f>
        <v/>
      </c>
      <c r="AY71" s="103" t="n"/>
      <c r="BF71" s="136" t="n"/>
    </row>
    <row r="72" ht="13" customHeight="1">
      <c r="B72" s="89" t="n"/>
      <c r="C72" s="90">
        <f>IFERROR(VLOOKUP(D72,lista_trabajadores!B:E,4,FALSE),"")</f>
        <v/>
      </c>
      <c r="D72" s="200" t="n"/>
      <c r="E72" s="198" t="n"/>
      <c r="F72" s="201" t="n"/>
      <c r="G72" s="91" t="n"/>
      <c r="H72" s="96" t="n"/>
      <c r="I72" s="92" t="n"/>
      <c r="J72" s="90">
        <f>IFERROR(VLOOKUP($K72,Tabla1[[NOMBRE]:[CODIGO2]],4,0),"")</f>
        <v/>
      </c>
      <c r="K72" s="27" t="n"/>
      <c r="L72" s="93">
        <f>SUMIF($O$11:$AB$11,"Area Lote",$O72:$AB72)</f>
        <v/>
      </c>
      <c r="M72" s="94" t="n"/>
      <c r="N72" s="94" t="n"/>
      <c r="O72" s="100" t="n"/>
      <c r="P72" s="101" t="n"/>
      <c r="Q72" s="102" t="n"/>
      <c r="R72" s="102" t="n"/>
      <c r="S72" s="100" t="n"/>
      <c r="T72" s="101" t="n"/>
      <c r="U72" s="102" t="n"/>
      <c r="V72" s="102" t="n"/>
      <c r="W72" s="100" t="n"/>
      <c r="X72" s="101" t="n"/>
      <c r="Y72" s="102" t="n"/>
      <c r="Z72" s="102" t="n"/>
      <c r="AA72" s="100" t="n"/>
      <c r="AB72" s="101" t="n"/>
      <c r="AC72" s="85" t="n"/>
      <c r="AD72" s="85" t="n"/>
      <c r="AE72" s="85" t="n"/>
      <c r="AF72" s="85" t="n"/>
      <c r="AG72" s="85" t="n"/>
      <c r="AH72" s="85" t="n"/>
      <c r="AI72" s="85" t="n"/>
      <c r="AJ72" s="85" t="n"/>
      <c r="AK72" s="85" t="n"/>
      <c r="AL72" s="85" t="n"/>
      <c r="AM72" s="85" t="n"/>
      <c r="AN72" s="85" t="n"/>
      <c r="AO72" s="85" t="n"/>
      <c r="AP72" s="85" t="n"/>
      <c r="AQ72" s="85" t="n"/>
      <c r="AR72" s="85" t="n"/>
      <c r="AS72" s="85" t="n"/>
      <c r="AT72" s="86" t="n"/>
      <c r="AU72" s="57" t="n"/>
      <c r="AV72" s="87" t="n"/>
      <c r="AW72" s="88">
        <f>IF(J72&lt;&gt;" ",VLOOKUP(J72,lista_labores,4,FALSE),"  ")</f>
        <v/>
      </c>
      <c r="AX72" s="88">
        <f>+AW72*L72</f>
        <v/>
      </c>
      <c r="AY72" s="103" t="n"/>
      <c r="BF72" s="136" t="n"/>
    </row>
    <row r="73" ht="13" customHeight="1">
      <c r="B73" s="89" t="n"/>
      <c r="C73" s="90">
        <f>IFERROR(VLOOKUP(D73,lista_trabajadores!B:E,4,FALSE),"")</f>
        <v/>
      </c>
      <c r="D73" s="200" t="n"/>
      <c r="E73" s="198" t="n"/>
      <c r="F73" s="201" t="n"/>
      <c r="G73" s="91" t="n"/>
      <c r="H73" s="96" t="n"/>
      <c r="I73" s="92" t="n"/>
      <c r="J73" s="90">
        <f>IFERROR(VLOOKUP($K73,Tabla1[[NOMBRE]:[CODIGO2]],4,0),"")</f>
        <v/>
      </c>
      <c r="K73" s="27" t="n"/>
      <c r="L73" s="93">
        <f>SUMIF($O$11:$AB$11,"Area Lote",$O73:$AB73)</f>
        <v/>
      </c>
      <c r="M73" s="94" t="n"/>
      <c r="N73" s="94" t="n"/>
      <c r="O73" s="100" t="n"/>
      <c r="P73" s="101" t="n"/>
      <c r="Q73" s="102" t="n"/>
      <c r="R73" s="102" t="n"/>
      <c r="S73" s="100" t="n"/>
      <c r="T73" s="101" t="n"/>
      <c r="U73" s="102" t="n"/>
      <c r="V73" s="102" t="n"/>
      <c r="W73" s="100" t="n"/>
      <c r="X73" s="101" t="n"/>
      <c r="Y73" s="102" t="n"/>
      <c r="Z73" s="102" t="n"/>
      <c r="AA73" s="100" t="n"/>
      <c r="AB73" s="101" t="n"/>
      <c r="AC73" s="85" t="n"/>
      <c r="AD73" s="85" t="n"/>
      <c r="AE73" s="85" t="n"/>
      <c r="AF73" s="85" t="n"/>
      <c r="AG73" s="85" t="n"/>
      <c r="AH73" s="85" t="n"/>
      <c r="AI73" s="85" t="n"/>
      <c r="AJ73" s="85" t="n"/>
      <c r="AK73" s="85" t="n"/>
      <c r="AL73" s="85" t="n"/>
      <c r="AM73" s="85" t="n"/>
      <c r="AN73" s="85" t="n"/>
      <c r="AO73" s="85" t="n"/>
      <c r="AP73" s="85" t="n"/>
      <c r="AQ73" s="85" t="n"/>
      <c r="AR73" s="85" t="n"/>
      <c r="AS73" s="85" t="n"/>
      <c r="AT73" s="86" t="n"/>
      <c r="AU73" s="57" t="n"/>
      <c r="AV73" s="87" t="n"/>
      <c r="AW73" s="88">
        <f>IF(J73&lt;&gt;" ",VLOOKUP(J73,lista_labores,4,FALSE),"  ")</f>
        <v/>
      </c>
      <c r="AX73" s="88">
        <f>+AW73*L73</f>
        <v/>
      </c>
      <c r="AY73" s="103" t="n"/>
      <c r="BF73" s="136" t="n"/>
    </row>
    <row r="74" ht="13" customHeight="1">
      <c r="B74" s="89" t="n"/>
      <c r="C74" s="90">
        <f>IFERROR(VLOOKUP(D74,lista_trabajadores!B:E,4,FALSE),"")</f>
        <v/>
      </c>
      <c r="D74" s="200" t="n"/>
      <c r="E74" s="198" t="n"/>
      <c r="F74" s="201" t="n"/>
      <c r="G74" s="91" t="n"/>
      <c r="H74" s="96" t="n"/>
      <c r="I74" s="92" t="n"/>
      <c r="J74" s="90">
        <f>IFERROR(VLOOKUP($K74,Tabla1[[NOMBRE]:[CODIGO2]],4,0),"")</f>
        <v/>
      </c>
      <c r="K74" s="27" t="n"/>
      <c r="L74" s="93">
        <f>SUMIF($O$11:$AB$11,"Area Lote",$O74:$AB74)</f>
        <v/>
      </c>
      <c r="M74" s="94" t="n"/>
      <c r="N74" s="94" t="n"/>
      <c r="O74" s="100" t="n"/>
      <c r="P74" s="101" t="n"/>
      <c r="Q74" s="102" t="n"/>
      <c r="R74" s="102" t="n"/>
      <c r="S74" s="100" t="n"/>
      <c r="T74" s="101" t="n"/>
      <c r="U74" s="102" t="n"/>
      <c r="V74" s="102" t="n"/>
      <c r="W74" s="100" t="n"/>
      <c r="X74" s="101" t="n"/>
      <c r="Y74" s="102" t="n"/>
      <c r="Z74" s="102" t="n"/>
      <c r="AA74" s="100" t="n"/>
      <c r="AB74" s="101" t="n"/>
      <c r="AC74" s="85" t="n"/>
      <c r="AD74" s="85" t="n"/>
      <c r="AE74" s="85" t="n"/>
      <c r="AF74" s="85" t="n"/>
      <c r="AG74" s="85" t="n"/>
      <c r="AH74" s="85" t="n"/>
      <c r="AI74" s="85" t="n"/>
      <c r="AJ74" s="85" t="n"/>
      <c r="AK74" s="85" t="n"/>
      <c r="AL74" s="85" t="n"/>
      <c r="AM74" s="85" t="n"/>
      <c r="AN74" s="85" t="n"/>
      <c r="AO74" s="85" t="n"/>
      <c r="AP74" s="85" t="n"/>
      <c r="AQ74" s="85" t="n"/>
      <c r="AR74" s="85" t="n"/>
      <c r="AS74" s="85" t="n"/>
      <c r="AT74" s="86" t="n"/>
      <c r="AU74" s="57" t="n"/>
      <c r="AV74" s="87" t="n"/>
      <c r="AW74" s="88">
        <f>IF(J74&lt;&gt;" ",VLOOKUP(J74,lista_labores,4,FALSE),"  ")</f>
        <v/>
      </c>
      <c r="AX74" s="88">
        <f>+AW74*L74</f>
        <v/>
      </c>
      <c r="AY74" s="103" t="n"/>
      <c r="BF74" s="136" t="n"/>
    </row>
    <row r="75" ht="13" customHeight="1">
      <c r="B75" s="89" t="n"/>
      <c r="C75" s="90">
        <f>IFERROR(VLOOKUP(D75,lista_trabajadores!B:E,4,FALSE),"")</f>
        <v/>
      </c>
      <c r="D75" s="200" t="n"/>
      <c r="E75" s="198" t="n"/>
      <c r="F75" s="201" t="n"/>
      <c r="G75" s="91" t="n"/>
      <c r="H75" s="96" t="n"/>
      <c r="I75" s="92" t="n"/>
      <c r="J75" s="90">
        <f>IFERROR(VLOOKUP($K75,Tabla1[[NOMBRE]:[CODIGO2]],4,0),"")</f>
        <v/>
      </c>
      <c r="K75" s="27" t="n"/>
      <c r="L75" s="93">
        <f>SUMIF($O$11:$AB$11,"Area Lote",$O75:$AB75)</f>
        <v/>
      </c>
      <c r="M75" s="94" t="n"/>
      <c r="N75" s="94" t="n"/>
      <c r="O75" s="100" t="n"/>
      <c r="P75" s="101" t="n"/>
      <c r="Q75" s="102" t="n"/>
      <c r="R75" s="102" t="n"/>
      <c r="S75" s="100" t="n"/>
      <c r="T75" s="101" t="n"/>
      <c r="U75" s="102" t="n"/>
      <c r="V75" s="102" t="n"/>
      <c r="W75" s="100" t="n"/>
      <c r="X75" s="101" t="n"/>
      <c r="Y75" s="102" t="n"/>
      <c r="Z75" s="102" t="n"/>
      <c r="AA75" s="100" t="n"/>
      <c r="AB75" s="101" t="n"/>
      <c r="AC75" s="85" t="n"/>
      <c r="AD75" s="85" t="n"/>
      <c r="AE75" s="85" t="n"/>
      <c r="AF75" s="85" t="n"/>
      <c r="AG75" s="85" t="n"/>
      <c r="AH75" s="85" t="n"/>
      <c r="AI75" s="85" t="n"/>
      <c r="AJ75" s="85" t="n"/>
      <c r="AK75" s="85" t="n"/>
      <c r="AL75" s="85" t="n"/>
      <c r="AM75" s="85" t="n"/>
      <c r="AN75" s="85" t="n"/>
      <c r="AO75" s="85" t="n"/>
      <c r="AP75" s="85" t="n"/>
      <c r="AQ75" s="85" t="n"/>
      <c r="AR75" s="85" t="n"/>
      <c r="AS75" s="85" t="n"/>
      <c r="AT75" s="86" t="n"/>
      <c r="AU75" s="57" t="n"/>
      <c r="AV75" s="87" t="n"/>
      <c r="AW75" s="88">
        <f>IF(J75&lt;&gt;" ",VLOOKUP(J75,lista_labores,4,FALSE),"  ")</f>
        <v/>
      </c>
      <c r="AX75" s="88">
        <f>+AW75*L75</f>
        <v/>
      </c>
      <c r="AY75" s="103" t="n"/>
      <c r="BF75" s="136" t="n"/>
    </row>
    <row r="76" ht="13" customHeight="1">
      <c r="B76" s="89" t="n"/>
      <c r="C76" s="90">
        <f>IFERROR(VLOOKUP(D76,lista_trabajadores!B:E,4,FALSE),"")</f>
        <v/>
      </c>
      <c r="D76" s="200" t="n"/>
      <c r="E76" s="198" t="n"/>
      <c r="F76" s="201" t="n"/>
      <c r="G76" s="91" t="n"/>
      <c r="H76" s="96" t="n"/>
      <c r="I76" s="92" t="n"/>
      <c r="J76" s="90">
        <f>IFERROR(VLOOKUP($K76,Tabla1[[NOMBRE]:[CODIGO2]],4,0),"")</f>
        <v/>
      </c>
      <c r="K76" s="27" t="n"/>
      <c r="L76" s="93">
        <f>SUMIF($O$11:$AB$11,"Area Lote",$O76:$AB76)</f>
        <v/>
      </c>
      <c r="M76" s="94" t="n"/>
      <c r="N76" s="94" t="n"/>
      <c r="O76" s="100" t="n"/>
      <c r="P76" s="101" t="n"/>
      <c r="Q76" s="102" t="n"/>
      <c r="R76" s="102" t="n"/>
      <c r="S76" s="100" t="n"/>
      <c r="T76" s="101" t="n"/>
      <c r="U76" s="102" t="n"/>
      <c r="V76" s="102" t="n"/>
      <c r="W76" s="100" t="n"/>
      <c r="X76" s="101" t="n"/>
      <c r="Y76" s="102" t="n"/>
      <c r="Z76" s="102" t="n"/>
      <c r="AA76" s="100" t="n"/>
      <c r="AB76" s="101" t="n"/>
      <c r="AC76" s="85" t="n"/>
      <c r="AD76" s="85" t="n"/>
      <c r="AE76" s="85" t="n"/>
      <c r="AF76" s="85" t="n"/>
      <c r="AG76" s="85" t="n"/>
      <c r="AH76" s="85" t="n"/>
      <c r="AI76" s="85" t="n"/>
      <c r="AJ76" s="85" t="n"/>
      <c r="AK76" s="85" t="n"/>
      <c r="AL76" s="85" t="n"/>
      <c r="AM76" s="85" t="n"/>
      <c r="AN76" s="85" t="n"/>
      <c r="AO76" s="85" t="n"/>
      <c r="AP76" s="85" t="n"/>
      <c r="AQ76" s="85" t="n"/>
      <c r="AR76" s="85" t="n"/>
      <c r="AS76" s="85" t="n"/>
      <c r="AT76" s="86" t="n"/>
      <c r="AU76" s="57" t="n"/>
      <c r="AV76" s="87" t="n"/>
      <c r="AW76" s="88">
        <f>IF(J76&lt;&gt;" ",VLOOKUP(J76,lista_labores,4,FALSE),"  ")</f>
        <v/>
      </c>
      <c r="AX76" s="88">
        <f>+AW76*L76</f>
        <v/>
      </c>
      <c r="AY76" s="103" t="n"/>
      <c r="BF76" s="136" t="n"/>
    </row>
    <row r="77" ht="13" customHeight="1">
      <c r="B77" s="89" t="n"/>
      <c r="C77" s="90">
        <f>IFERROR(VLOOKUP(D77,lista_trabajadores!B:E,4,FALSE),"")</f>
        <v/>
      </c>
      <c r="D77" s="200" t="n"/>
      <c r="E77" s="198" t="n"/>
      <c r="F77" s="201" t="n"/>
      <c r="G77" s="91" t="n"/>
      <c r="H77" s="96" t="n"/>
      <c r="I77" s="92" t="n"/>
      <c r="J77" s="90">
        <f>IFERROR(VLOOKUP($K77,Tabla1[[NOMBRE]:[CODIGO2]],4,0),"")</f>
        <v/>
      </c>
      <c r="K77" s="27" t="n"/>
      <c r="L77" s="93">
        <f>SUMIF($O$11:$AB$11,"Area Lote",$O77:$AB77)</f>
        <v/>
      </c>
      <c r="M77" s="94" t="n"/>
      <c r="N77" s="94" t="n"/>
      <c r="O77" s="100" t="n"/>
      <c r="P77" s="101" t="n"/>
      <c r="Q77" s="102" t="n"/>
      <c r="R77" s="102" t="n"/>
      <c r="S77" s="100" t="n"/>
      <c r="T77" s="101" t="n"/>
      <c r="U77" s="102" t="n"/>
      <c r="V77" s="102" t="n"/>
      <c r="W77" s="100" t="n"/>
      <c r="X77" s="101" t="n"/>
      <c r="Y77" s="102" t="n"/>
      <c r="Z77" s="102" t="n"/>
      <c r="AA77" s="100" t="n"/>
      <c r="AB77" s="101" t="n"/>
      <c r="AC77" s="85" t="n"/>
      <c r="AD77" s="85" t="n"/>
      <c r="AE77" s="85" t="n"/>
      <c r="AF77" s="85" t="n"/>
      <c r="AG77" s="85" t="n"/>
      <c r="AH77" s="85" t="n"/>
      <c r="AI77" s="85" t="n"/>
      <c r="AJ77" s="85" t="n"/>
      <c r="AK77" s="85" t="n"/>
      <c r="AL77" s="85" t="n"/>
      <c r="AM77" s="85" t="n"/>
      <c r="AN77" s="85" t="n"/>
      <c r="AO77" s="85" t="n"/>
      <c r="AP77" s="85" t="n"/>
      <c r="AQ77" s="85" t="n"/>
      <c r="AR77" s="85" t="n"/>
      <c r="AS77" s="85" t="n"/>
      <c r="AT77" s="86" t="n"/>
      <c r="AU77" s="57" t="n"/>
      <c r="AV77" s="87" t="n"/>
      <c r="AW77" s="88">
        <f>IF(J77&lt;&gt;" ",VLOOKUP(J77,lista_labores,4,FALSE),"  ")</f>
        <v/>
      </c>
      <c r="AX77" s="88">
        <f>+AW77*L77</f>
        <v/>
      </c>
      <c r="AY77" s="103" t="n"/>
      <c r="BF77" s="136" t="n"/>
    </row>
    <row r="78" ht="13" customHeight="1">
      <c r="B78" s="89" t="n"/>
      <c r="C78" s="90">
        <f>IFERROR(VLOOKUP(D78,lista_trabajadores!B:E,4,FALSE),"")</f>
        <v/>
      </c>
      <c r="D78" s="200" t="n"/>
      <c r="E78" s="198" t="n"/>
      <c r="F78" s="201" t="n"/>
      <c r="G78" s="91" t="n"/>
      <c r="H78" s="96" t="n"/>
      <c r="I78" s="92" t="n"/>
      <c r="J78" s="90">
        <f>IFERROR(VLOOKUP($K78,Tabla1[[NOMBRE]:[CODIGO2]],4,0),"")</f>
        <v/>
      </c>
      <c r="K78" s="27" t="n"/>
      <c r="L78" s="93">
        <f>SUMIF($O$11:$AB$11,"Area Lote",$O78:$AB78)</f>
        <v/>
      </c>
      <c r="M78" s="94" t="n"/>
      <c r="N78" s="94" t="n"/>
      <c r="O78" s="100" t="n"/>
      <c r="P78" s="101" t="n"/>
      <c r="Q78" s="102" t="n"/>
      <c r="R78" s="102" t="n"/>
      <c r="S78" s="100" t="n"/>
      <c r="T78" s="101" t="n"/>
      <c r="U78" s="102" t="n"/>
      <c r="V78" s="102" t="n"/>
      <c r="W78" s="100" t="n"/>
      <c r="X78" s="101" t="n"/>
      <c r="Y78" s="102" t="n"/>
      <c r="Z78" s="102" t="n"/>
      <c r="AA78" s="100" t="n"/>
      <c r="AB78" s="101" t="n"/>
      <c r="AC78" s="85" t="n"/>
      <c r="AD78" s="85" t="n"/>
      <c r="AE78" s="85" t="n"/>
      <c r="AF78" s="85" t="n"/>
      <c r="AG78" s="85" t="n"/>
      <c r="AH78" s="85" t="n"/>
      <c r="AI78" s="85" t="n"/>
      <c r="AJ78" s="85" t="n"/>
      <c r="AK78" s="85" t="n"/>
      <c r="AL78" s="85" t="n"/>
      <c r="AM78" s="85" t="n"/>
      <c r="AN78" s="85" t="n"/>
      <c r="AO78" s="85" t="n"/>
      <c r="AP78" s="85" t="n"/>
      <c r="AQ78" s="85" t="n"/>
      <c r="AR78" s="85" t="n"/>
      <c r="AS78" s="85" t="n"/>
      <c r="AT78" s="86" t="n"/>
      <c r="AU78" s="57" t="n"/>
      <c r="AV78" s="87" t="n"/>
      <c r="AW78" s="88">
        <f>IF(J78&lt;&gt;" ",VLOOKUP(J78,lista_labores,4,FALSE),"  ")</f>
        <v/>
      </c>
      <c r="AX78" s="88">
        <f>+AW78*L78</f>
        <v/>
      </c>
      <c r="AY78" s="103" t="n"/>
      <c r="BF78" s="136" t="n"/>
    </row>
    <row r="79" ht="13" customHeight="1">
      <c r="B79" s="89" t="n"/>
      <c r="C79" s="90">
        <f>IFERROR(VLOOKUP(D79,lista_trabajadores!B:E,4,FALSE),"")</f>
        <v/>
      </c>
      <c r="D79" s="200" t="n"/>
      <c r="E79" s="198" t="n"/>
      <c r="F79" s="201" t="n"/>
      <c r="G79" s="91" t="n"/>
      <c r="H79" s="96" t="n"/>
      <c r="I79" s="92" t="n"/>
      <c r="J79" s="90">
        <f>IFERROR(VLOOKUP($K79,Tabla1[[NOMBRE]:[CODIGO2]],4,0),"")</f>
        <v/>
      </c>
      <c r="K79" s="27" t="n"/>
      <c r="L79" s="93">
        <f>SUMIF($O$11:$AB$11,"Area Lote",$O79:$AB79)</f>
        <v/>
      </c>
      <c r="M79" s="94" t="n"/>
      <c r="N79" s="94" t="n"/>
      <c r="O79" s="100" t="n"/>
      <c r="P79" s="101" t="n"/>
      <c r="Q79" s="102" t="n"/>
      <c r="R79" s="102" t="n"/>
      <c r="S79" s="100" t="n"/>
      <c r="T79" s="101" t="n"/>
      <c r="U79" s="102" t="n"/>
      <c r="V79" s="102" t="n"/>
      <c r="W79" s="100" t="n"/>
      <c r="X79" s="101" t="n"/>
      <c r="Y79" s="102" t="n"/>
      <c r="Z79" s="102" t="n"/>
      <c r="AA79" s="100" t="n"/>
      <c r="AB79" s="101" t="n"/>
      <c r="AC79" s="85" t="n"/>
      <c r="AD79" s="85" t="n"/>
      <c r="AE79" s="85" t="n"/>
      <c r="AF79" s="85" t="n"/>
      <c r="AG79" s="85" t="n"/>
      <c r="AH79" s="85" t="n"/>
      <c r="AI79" s="85" t="n"/>
      <c r="AJ79" s="85" t="n"/>
      <c r="AK79" s="85" t="n"/>
      <c r="AL79" s="85" t="n"/>
      <c r="AM79" s="85" t="n"/>
      <c r="AN79" s="85" t="n"/>
      <c r="AO79" s="85" t="n"/>
      <c r="AP79" s="85" t="n"/>
      <c r="AQ79" s="85" t="n"/>
      <c r="AR79" s="85" t="n"/>
      <c r="AS79" s="85" t="n"/>
      <c r="AT79" s="86" t="n"/>
      <c r="AU79" s="57" t="n"/>
      <c r="AV79" s="87" t="n"/>
      <c r="AW79" s="88">
        <f>IF(J79&lt;&gt;" ",VLOOKUP(J79,lista_labores,4,FALSE),"  ")</f>
        <v/>
      </c>
      <c r="AX79" s="88">
        <f>+AW79*L79</f>
        <v/>
      </c>
      <c r="AY79" s="103" t="n"/>
      <c r="BF79" s="136" t="n"/>
    </row>
    <row r="80" ht="13" customHeight="1">
      <c r="B80" s="89" t="n"/>
      <c r="C80" s="90">
        <f>IFERROR(VLOOKUP(D80,lista_trabajadores!B:E,4,FALSE),"")</f>
        <v/>
      </c>
      <c r="D80" s="200" t="n"/>
      <c r="E80" s="198" t="n"/>
      <c r="F80" s="201" t="n"/>
      <c r="G80" s="91" t="n"/>
      <c r="H80" s="96" t="n"/>
      <c r="I80" s="92" t="n"/>
      <c r="J80" s="90">
        <f>IFERROR(VLOOKUP($K80,Tabla1[[NOMBRE]:[CODIGO2]],4,0),"")</f>
        <v/>
      </c>
      <c r="K80" s="27" t="n"/>
      <c r="L80" s="93">
        <f>SUMIF($O$11:$AB$11,"Area Lote",$O80:$AB80)</f>
        <v/>
      </c>
      <c r="M80" s="94" t="n"/>
      <c r="N80" s="94" t="n"/>
      <c r="O80" s="100" t="n"/>
      <c r="P80" s="101" t="n"/>
      <c r="Q80" s="102" t="n"/>
      <c r="R80" s="102" t="n"/>
      <c r="S80" s="100" t="n"/>
      <c r="T80" s="101" t="n"/>
      <c r="U80" s="102" t="n"/>
      <c r="V80" s="102" t="n"/>
      <c r="W80" s="100" t="n"/>
      <c r="X80" s="101" t="n"/>
      <c r="Y80" s="102" t="n"/>
      <c r="Z80" s="102" t="n"/>
      <c r="AA80" s="100" t="n"/>
      <c r="AB80" s="101" t="n"/>
      <c r="AC80" s="85" t="n"/>
      <c r="AD80" s="85" t="n"/>
      <c r="AE80" s="85" t="n"/>
      <c r="AF80" s="85" t="n"/>
      <c r="AG80" s="85" t="n"/>
      <c r="AH80" s="85" t="n"/>
      <c r="AI80" s="85" t="n"/>
      <c r="AJ80" s="85" t="n"/>
      <c r="AK80" s="85" t="n"/>
      <c r="AL80" s="85" t="n"/>
      <c r="AM80" s="85" t="n"/>
      <c r="AN80" s="85" t="n"/>
      <c r="AO80" s="85" t="n"/>
      <c r="AP80" s="85" t="n"/>
      <c r="AQ80" s="85" t="n"/>
      <c r="AR80" s="85" t="n"/>
      <c r="AS80" s="85" t="n"/>
      <c r="AT80" s="86" t="n"/>
      <c r="AU80" s="57" t="n"/>
      <c r="AV80" s="87" t="n"/>
      <c r="AW80" s="88">
        <f>IF(J80&lt;&gt;" ",VLOOKUP(J80,lista_labores,4,FALSE),"  ")</f>
        <v/>
      </c>
      <c r="AX80" s="88">
        <f>+AW80*L80</f>
        <v/>
      </c>
      <c r="AY80" s="103" t="n"/>
      <c r="BF80" s="134" t="n"/>
    </row>
    <row r="81" ht="13" customHeight="1">
      <c r="B81" s="89" t="n"/>
      <c r="C81" s="90">
        <f>IFERROR(VLOOKUP(D81,lista_trabajadores!B:E,4,FALSE),"")</f>
        <v/>
      </c>
      <c r="D81" s="200" t="n"/>
      <c r="E81" s="198" t="n"/>
      <c r="F81" s="201" t="n"/>
      <c r="G81" s="91" t="n"/>
      <c r="H81" s="96" t="n"/>
      <c r="I81" s="92" t="n"/>
      <c r="J81" s="90">
        <f>IFERROR(VLOOKUP($K81,Tabla1[[NOMBRE]:[CODIGO2]],4,0),"")</f>
        <v/>
      </c>
      <c r="K81" s="27" t="n"/>
      <c r="L81" s="93">
        <f>SUMIF($O$11:$AB$11,"Area Lote",$O81:$AB81)</f>
        <v/>
      </c>
      <c r="M81" s="94" t="n"/>
      <c r="N81" s="94" t="n"/>
      <c r="O81" s="100" t="n"/>
      <c r="P81" s="101" t="n"/>
      <c r="Q81" s="102" t="n"/>
      <c r="R81" s="102" t="n"/>
      <c r="S81" s="100" t="n"/>
      <c r="T81" s="101" t="n"/>
      <c r="U81" s="102" t="n"/>
      <c r="V81" s="102" t="n"/>
      <c r="W81" s="100" t="n"/>
      <c r="X81" s="101" t="n"/>
      <c r="Y81" s="102" t="n"/>
      <c r="Z81" s="102" t="n"/>
      <c r="AA81" s="100" t="n"/>
      <c r="AB81" s="101" t="n"/>
      <c r="AC81" s="85" t="n"/>
      <c r="AD81" s="85" t="n"/>
      <c r="AE81" s="85" t="n"/>
      <c r="AF81" s="85" t="n"/>
      <c r="AG81" s="85" t="n"/>
      <c r="AH81" s="85" t="n"/>
      <c r="AI81" s="85" t="n"/>
      <c r="AJ81" s="85" t="n"/>
      <c r="AK81" s="85" t="n"/>
      <c r="AL81" s="85" t="n"/>
      <c r="AM81" s="85" t="n"/>
      <c r="AN81" s="85" t="n"/>
      <c r="AO81" s="85" t="n"/>
      <c r="AP81" s="85" t="n"/>
      <c r="AQ81" s="85" t="n"/>
      <c r="AR81" s="85" t="n"/>
      <c r="AS81" s="85" t="n"/>
      <c r="AT81" s="86" t="n"/>
      <c r="AU81" s="57" t="n"/>
      <c r="AV81" s="87" t="n"/>
      <c r="AW81" s="88">
        <f>IF(J81&lt;&gt;" ",VLOOKUP(J81,lista_labores,4,FALSE),"  ")</f>
        <v/>
      </c>
      <c r="AX81" s="88">
        <f>+AW81*L81</f>
        <v/>
      </c>
      <c r="AY81" s="103" t="n"/>
      <c r="BF81" s="134" t="n"/>
    </row>
    <row r="82" ht="13" customHeight="1">
      <c r="B82" s="89" t="n"/>
      <c r="C82" s="90">
        <f>IFERROR(VLOOKUP(D82,lista_trabajadores!B:E,4,FALSE),"")</f>
        <v/>
      </c>
      <c r="D82" s="200" t="n"/>
      <c r="E82" s="198" t="n"/>
      <c r="F82" s="201" t="n"/>
      <c r="G82" s="91" t="n"/>
      <c r="H82" s="96" t="n"/>
      <c r="I82" s="92" t="n"/>
      <c r="J82" s="90">
        <f>IFERROR(VLOOKUP($K82,Tabla1[[NOMBRE]:[CODIGO2]],4,0),"")</f>
        <v/>
      </c>
      <c r="K82" s="27" t="n"/>
      <c r="L82" s="93">
        <f>SUMIF($O$11:$AB$11,"Area Lote",$O82:$AB82)</f>
        <v/>
      </c>
      <c r="M82" s="94" t="n"/>
      <c r="N82" s="94" t="n"/>
      <c r="O82" s="100" t="n"/>
      <c r="P82" s="101" t="n"/>
      <c r="Q82" s="102" t="n"/>
      <c r="R82" s="102" t="n"/>
      <c r="S82" s="100" t="n"/>
      <c r="T82" s="101" t="n"/>
      <c r="U82" s="102" t="n"/>
      <c r="V82" s="102" t="n"/>
      <c r="W82" s="100" t="n"/>
      <c r="X82" s="101" t="n"/>
      <c r="Y82" s="102" t="n"/>
      <c r="Z82" s="102" t="n"/>
      <c r="AA82" s="100" t="n"/>
      <c r="AB82" s="101" t="n"/>
      <c r="AC82" s="85" t="n"/>
      <c r="AD82" s="85" t="n"/>
      <c r="AE82" s="85" t="n"/>
      <c r="AF82" s="85" t="n"/>
      <c r="AG82" s="85" t="n"/>
      <c r="AH82" s="85" t="n"/>
      <c r="AI82" s="85" t="n"/>
      <c r="AJ82" s="85" t="n"/>
      <c r="AK82" s="85" t="n"/>
      <c r="AL82" s="85" t="n"/>
      <c r="AM82" s="85" t="n"/>
      <c r="AN82" s="85" t="n"/>
      <c r="AO82" s="85" t="n"/>
      <c r="AP82" s="85" t="n"/>
      <c r="AQ82" s="85" t="n"/>
      <c r="AR82" s="85" t="n"/>
      <c r="AS82" s="85" t="n"/>
      <c r="AT82" s="86" t="n"/>
      <c r="AU82" s="57" t="n"/>
      <c r="AV82" s="87" t="n"/>
      <c r="AW82" s="88">
        <f>IF(J82&lt;&gt;" ",VLOOKUP(J82,lista_labores,4,FALSE),"  ")</f>
        <v/>
      </c>
      <c r="AX82" s="88">
        <f>+AW82*L82</f>
        <v/>
      </c>
      <c r="AY82" s="103" t="n"/>
      <c r="BF82" s="136" t="n"/>
    </row>
    <row r="83" ht="13" customHeight="1">
      <c r="B83" s="89" t="n"/>
      <c r="C83" s="90">
        <f>IFERROR(VLOOKUP(D83,lista_trabajadores!B:E,4,FALSE),"")</f>
        <v/>
      </c>
      <c r="D83" s="200" t="n"/>
      <c r="E83" s="198" t="n"/>
      <c r="F83" s="201" t="n"/>
      <c r="G83" s="91" t="n"/>
      <c r="H83" s="96" t="n"/>
      <c r="I83" s="92" t="n"/>
      <c r="J83" s="90">
        <f>IFERROR(VLOOKUP($K83,Tabla1[[NOMBRE]:[CODIGO2]],4,0),"")</f>
        <v/>
      </c>
      <c r="K83" s="27" t="n"/>
      <c r="L83" s="93">
        <f>SUMIF($O$11:$AB$11,"Area Lote",$O83:$AB83)</f>
        <v/>
      </c>
      <c r="M83" s="94" t="n"/>
      <c r="N83" s="94" t="n"/>
      <c r="O83" s="100" t="n"/>
      <c r="P83" s="101" t="n"/>
      <c r="Q83" s="102" t="n"/>
      <c r="R83" s="102" t="n"/>
      <c r="S83" s="100" t="n"/>
      <c r="T83" s="101" t="n"/>
      <c r="U83" s="102" t="n"/>
      <c r="V83" s="102" t="n"/>
      <c r="W83" s="100" t="n"/>
      <c r="X83" s="101" t="n"/>
      <c r="Y83" s="102" t="n"/>
      <c r="Z83" s="102" t="n"/>
      <c r="AA83" s="100" t="n"/>
      <c r="AB83" s="101" t="n"/>
      <c r="AC83" s="85" t="n"/>
      <c r="AD83" s="85" t="n"/>
      <c r="AE83" s="85" t="n"/>
      <c r="AF83" s="85" t="n"/>
      <c r="AG83" s="85" t="n"/>
      <c r="AH83" s="85" t="n"/>
      <c r="AI83" s="85" t="n"/>
      <c r="AJ83" s="85" t="n"/>
      <c r="AK83" s="85" t="n"/>
      <c r="AL83" s="85" t="n"/>
      <c r="AM83" s="85" t="n"/>
      <c r="AN83" s="85" t="n"/>
      <c r="AO83" s="85" t="n"/>
      <c r="AP83" s="85" t="n"/>
      <c r="AQ83" s="85" t="n"/>
      <c r="AR83" s="85" t="n"/>
      <c r="AS83" s="85" t="n"/>
      <c r="AT83" s="86" t="n"/>
      <c r="AU83" s="57" t="n"/>
      <c r="AV83" s="87" t="n"/>
      <c r="AW83" s="88">
        <f>IF(J83&lt;&gt;" ",VLOOKUP(J83,lista_labores,4,FALSE),"  ")</f>
        <v/>
      </c>
      <c r="AX83" s="88">
        <f>+AW83*L83</f>
        <v/>
      </c>
      <c r="AY83" s="103" t="n"/>
      <c r="BF83" s="136" t="n"/>
    </row>
    <row r="84" ht="13" customHeight="1">
      <c r="B84" s="89" t="n"/>
      <c r="C84" s="90">
        <f>IFERROR(VLOOKUP(D84,lista_trabajadores!B:E,4,FALSE),"")</f>
        <v/>
      </c>
      <c r="D84" s="200" t="n"/>
      <c r="E84" s="198" t="n"/>
      <c r="F84" s="201" t="n"/>
      <c r="G84" s="91" t="n"/>
      <c r="H84" s="96" t="n"/>
      <c r="I84" s="92" t="n"/>
      <c r="J84" s="90">
        <f>IFERROR(VLOOKUP($K84,Tabla1[[NOMBRE]:[CODIGO2]],4,0),"")</f>
        <v/>
      </c>
      <c r="K84" s="26" t="n"/>
      <c r="L84" s="93">
        <f>SUMIF($O$11:$AB$11,"Area Lote",$O84:$AB84)</f>
        <v/>
      </c>
      <c r="M84" s="94" t="n"/>
      <c r="N84" s="94" t="n"/>
      <c r="O84" s="100" t="n"/>
      <c r="P84" s="101" t="n"/>
      <c r="Q84" s="102" t="n"/>
      <c r="R84" s="102" t="n"/>
      <c r="S84" s="100" t="n"/>
      <c r="T84" s="101" t="n"/>
      <c r="U84" s="102" t="n"/>
      <c r="V84" s="102" t="n"/>
      <c r="W84" s="100" t="n"/>
      <c r="X84" s="101" t="n"/>
      <c r="Y84" s="102" t="n"/>
      <c r="Z84" s="102" t="n"/>
      <c r="AA84" s="100" t="n"/>
      <c r="AB84" s="101" t="n"/>
      <c r="AC84" s="85" t="n"/>
      <c r="AD84" s="85" t="n"/>
      <c r="AE84" s="85" t="n"/>
      <c r="AF84" s="85" t="n"/>
      <c r="AG84" s="85" t="n"/>
      <c r="AH84" s="85" t="n"/>
      <c r="AI84" s="85" t="n"/>
      <c r="AJ84" s="85" t="n"/>
      <c r="AK84" s="85" t="n"/>
      <c r="AL84" s="85" t="n"/>
      <c r="AM84" s="85" t="n"/>
      <c r="AN84" s="85" t="n"/>
      <c r="AO84" s="85" t="n"/>
      <c r="AP84" s="85" t="n"/>
      <c r="AQ84" s="85" t="n"/>
      <c r="AR84" s="85" t="n"/>
      <c r="AS84" s="85" t="n"/>
      <c r="AT84" s="86" t="n"/>
      <c r="AU84" s="57" t="n"/>
      <c r="AV84" s="87" t="n"/>
      <c r="AW84" s="88">
        <f>IF(J84&lt;&gt;" ",VLOOKUP(J84,lista_labores,4,FALSE),"  ")</f>
        <v/>
      </c>
      <c r="AX84" s="88">
        <f>+AW84*L84</f>
        <v/>
      </c>
      <c r="AY84" s="103" t="n"/>
      <c r="BF84" s="136" t="n"/>
    </row>
    <row r="85" ht="13" customHeight="1">
      <c r="B85" s="89" t="n"/>
      <c r="C85" s="90">
        <f>IFERROR(VLOOKUP(D85,lista_trabajadores!B:E,4,FALSE),"")</f>
        <v/>
      </c>
      <c r="D85" s="200" t="n"/>
      <c r="E85" s="198" t="n"/>
      <c r="F85" s="201" t="n"/>
      <c r="G85" s="91" t="n"/>
      <c r="H85" s="96" t="n"/>
      <c r="I85" s="92" t="n"/>
      <c r="J85" s="90">
        <f>IFERROR(VLOOKUP($K85,Tabla1[[NOMBRE]:[CODIGO2]],4,0),"")</f>
        <v/>
      </c>
      <c r="K85" s="26" t="n"/>
      <c r="L85" s="93">
        <f>SUMIF($O$11:$AB$11,"Area Lote",$O85:$AB85)</f>
        <v/>
      </c>
      <c r="M85" s="94" t="n"/>
      <c r="N85" s="94" t="n"/>
      <c r="O85" s="100" t="n"/>
      <c r="P85" s="101" t="n"/>
      <c r="Q85" s="102" t="n"/>
      <c r="R85" s="102" t="n"/>
      <c r="S85" s="100" t="n"/>
      <c r="T85" s="101" t="n"/>
      <c r="U85" s="102" t="n"/>
      <c r="V85" s="102" t="n"/>
      <c r="W85" s="100" t="n"/>
      <c r="X85" s="101" t="n"/>
      <c r="Y85" s="102" t="n"/>
      <c r="Z85" s="102" t="n"/>
      <c r="AA85" s="100" t="n"/>
      <c r="AB85" s="101" t="n"/>
      <c r="AC85" s="85" t="n"/>
      <c r="AD85" s="85" t="n"/>
      <c r="AE85" s="85" t="n"/>
      <c r="AF85" s="85" t="n"/>
      <c r="AG85" s="85" t="n"/>
      <c r="AH85" s="85" t="n"/>
      <c r="AI85" s="85" t="n"/>
      <c r="AJ85" s="85" t="n"/>
      <c r="AK85" s="85" t="n"/>
      <c r="AL85" s="85" t="n"/>
      <c r="AM85" s="85" t="n"/>
      <c r="AN85" s="85" t="n"/>
      <c r="AO85" s="85" t="n"/>
      <c r="AP85" s="85" t="n"/>
      <c r="AQ85" s="85" t="n"/>
      <c r="AR85" s="85" t="n"/>
      <c r="AS85" s="85" t="n"/>
      <c r="AT85" s="86" t="n"/>
      <c r="AU85" s="57" t="n"/>
      <c r="AV85" s="87" t="n"/>
      <c r="AW85" s="88">
        <f>IF(J85&lt;&gt;" ",VLOOKUP(J85,lista_labores,4,FALSE),"  ")</f>
        <v/>
      </c>
      <c r="AX85" s="88">
        <f>+AW85*L85</f>
        <v/>
      </c>
      <c r="AY85" s="103" t="n"/>
      <c r="BF85" s="134" t="n"/>
    </row>
    <row r="86" ht="13" customHeight="1">
      <c r="B86" s="89" t="n"/>
      <c r="C86" s="90">
        <f>IFERROR(VLOOKUP(D86,lista_trabajadores!B:E,4,FALSE),"")</f>
        <v/>
      </c>
      <c r="D86" s="200" t="n"/>
      <c r="E86" s="198" t="n"/>
      <c r="F86" s="201" t="n"/>
      <c r="G86" s="91" t="n"/>
      <c r="H86" s="96" t="n"/>
      <c r="I86" s="92" t="n"/>
      <c r="J86" s="90">
        <f>IFERROR(VLOOKUP($K86,Tabla1[[NOMBRE]:[CODIGO2]],4,0),"")</f>
        <v/>
      </c>
      <c r="K86" s="26" t="n"/>
      <c r="L86" s="93">
        <f>SUMIF($O$11:$AB$11,"Area Lote",$O86:$AB86)</f>
        <v/>
      </c>
      <c r="M86" s="94" t="n"/>
      <c r="N86" s="94" t="n"/>
      <c r="O86" s="100" t="n"/>
      <c r="P86" s="101" t="n"/>
      <c r="Q86" s="102" t="n"/>
      <c r="R86" s="102" t="n"/>
      <c r="S86" s="100" t="n"/>
      <c r="T86" s="101" t="n"/>
      <c r="U86" s="102" t="n"/>
      <c r="V86" s="102" t="n"/>
      <c r="W86" s="100" t="n"/>
      <c r="X86" s="101" t="n"/>
      <c r="Y86" s="102" t="n"/>
      <c r="Z86" s="102" t="n"/>
      <c r="AA86" s="100" t="n"/>
      <c r="AB86" s="101" t="n"/>
      <c r="AC86" s="85" t="n"/>
      <c r="AD86" s="85" t="n"/>
      <c r="AE86" s="85" t="n"/>
      <c r="AF86" s="85" t="n"/>
      <c r="AG86" s="85" t="n"/>
      <c r="AH86" s="85" t="n"/>
      <c r="AI86" s="85" t="n"/>
      <c r="AJ86" s="85" t="n"/>
      <c r="AK86" s="85" t="n"/>
      <c r="AL86" s="85" t="n"/>
      <c r="AM86" s="85" t="n"/>
      <c r="AN86" s="85" t="n"/>
      <c r="AO86" s="85" t="n"/>
      <c r="AP86" s="85" t="n"/>
      <c r="AQ86" s="85" t="n"/>
      <c r="AR86" s="85" t="n"/>
      <c r="AS86" s="85" t="n"/>
      <c r="AT86" s="86" t="n"/>
      <c r="AU86" s="57" t="n"/>
      <c r="AV86" s="87" t="n"/>
      <c r="AW86" s="88">
        <f>IF(J86&lt;&gt;" ",VLOOKUP(J86,lista_labores,4,FALSE),"  ")</f>
        <v/>
      </c>
      <c r="AX86" s="88">
        <f>+AW86*L86</f>
        <v/>
      </c>
      <c r="AY86" s="103" t="n"/>
      <c r="BF86" s="136" t="n"/>
    </row>
    <row r="87" ht="13" customHeight="1">
      <c r="B87" s="89" t="n"/>
      <c r="C87" s="90">
        <f>IFERROR(VLOOKUP(D87,lista_trabajadores!B:E,4,FALSE),"")</f>
        <v/>
      </c>
      <c r="D87" s="200" t="n"/>
      <c r="E87" s="198" t="n"/>
      <c r="F87" s="201" t="n"/>
      <c r="G87" s="91" t="n"/>
      <c r="H87" s="96" t="n"/>
      <c r="I87" s="92" t="n"/>
      <c r="J87" s="90">
        <f>IFERROR(VLOOKUP($K87,Tabla1[[NOMBRE]:[CODIGO2]],4,0),"")</f>
        <v/>
      </c>
      <c r="K87" s="26" t="n"/>
      <c r="L87" s="93">
        <f>SUMIF($O$11:$AB$11,"Area Lote",$O87:$AB87)</f>
        <v/>
      </c>
      <c r="M87" s="94" t="n"/>
      <c r="N87" s="94" t="n"/>
      <c r="O87" s="100" t="n"/>
      <c r="P87" s="101" t="n"/>
      <c r="Q87" s="102" t="n"/>
      <c r="R87" s="102" t="n"/>
      <c r="S87" s="100" t="n"/>
      <c r="T87" s="101" t="n"/>
      <c r="U87" s="102" t="n"/>
      <c r="V87" s="102" t="n"/>
      <c r="W87" s="100" t="n"/>
      <c r="X87" s="101" t="n"/>
      <c r="Y87" s="102" t="n"/>
      <c r="Z87" s="102" t="n"/>
      <c r="AA87" s="100" t="n"/>
      <c r="AB87" s="101" t="n"/>
      <c r="AC87" s="85" t="n"/>
      <c r="AD87" s="85" t="n"/>
      <c r="AE87" s="85" t="n"/>
      <c r="AF87" s="85" t="n"/>
      <c r="AG87" s="85" t="n"/>
      <c r="AH87" s="85" t="n"/>
      <c r="AI87" s="85" t="n"/>
      <c r="AJ87" s="85" t="n"/>
      <c r="AK87" s="85" t="n"/>
      <c r="AL87" s="85" t="n"/>
      <c r="AM87" s="85" t="n"/>
      <c r="AN87" s="85" t="n"/>
      <c r="AO87" s="85" t="n"/>
      <c r="AP87" s="85" t="n"/>
      <c r="AQ87" s="85" t="n"/>
      <c r="AR87" s="85" t="n"/>
      <c r="AS87" s="85" t="n"/>
      <c r="AT87" s="86" t="n"/>
      <c r="AU87" s="57" t="n"/>
      <c r="AV87" s="87" t="n"/>
      <c r="AW87" s="88">
        <f>IF(J87&lt;&gt;" ",VLOOKUP(J87,lista_labores,4,FALSE),"  ")</f>
        <v/>
      </c>
      <c r="AX87" s="88">
        <f>+AW87*L87</f>
        <v/>
      </c>
      <c r="AY87" s="103" t="n"/>
      <c r="BF87" s="134" t="n"/>
    </row>
    <row r="88" ht="13" customHeight="1">
      <c r="B88" s="89" t="n"/>
      <c r="C88" s="90">
        <f>IFERROR(VLOOKUP(D88,lista_trabajadores!B:E,4,FALSE),"")</f>
        <v/>
      </c>
      <c r="D88" s="200" t="n"/>
      <c r="E88" s="198" t="n"/>
      <c r="F88" s="201" t="n"/>
      <c r="G88" s="91" t="n"/>
      <c r="H88" s="96" t="n"/>
      <c r="I88" s="92" t="n"/>
      <c r="J88" s="90">
        <f>IFERROR(VLOOKUP($K88,Tabla1[[NOMBRE]:[CODIGO2]],4,0),"")</f>
        <v/>
      </c>
      <c r="K88" s="26" t="n"/>
      <c r="L88" s="93">
        <f>SUMIF($O$11:$AB$11,"Area Lote",$O88:$AB88)</f>
        <v/>
      </c>
      <c r="M88" s="94" t="n"/>
      <c r="N88" s="94" t="n"/>
      <c r="O88" s="100" t="n"/>
      <c r="P88" s="101" t="n"/>
      <c r="Q88" s="102" t="n"/>
      <c r="R88" s="102" t="n"/>
      <c r="S88" s="100" t="n"/>
      <c r="T88" s="101" t="n"/>
      <c r="U88" s="102" t="n"/>
      <c r="V88" s="102" t="n"/>
      <c r="W88" s="100" t="n"/>
      <c r="X88" s="101" t="n"/>
      <c r="Y88" s="102" t="n"/>
      <c r="Z88" s="102" t="n"/>
      <c r="AA88" s="100" t="n"/>
      <c r="AB88" s="101" t="n"/>
      <c r="AC88" s="85" t="n"/>
      <c r="AD88" s="85" t="n"/>
      <c r="AE88" s="85" t="n"/>
      <c r="AF88" s="85" t="n"/>
      <c r="AG88" s="85" t="n"/>
      <c r="AH88" s="85" t="n"/>
      <c r="AI88" s="85" t="n"/>
      <c r="AJ88" s="85" t="n"/>
      <c r="AK88" s="85" t="n"/>
      <c r="AL88" s="85" t="n"/>
      <c r="AM88" s="85" t="n"/>
      <c r="AN88" s="85" t="n"/>
      <c r="AO88" s="85" t="n"/>
      <c r="AP88" s="85" t="n"/>
      <c r="AQ88" s="85" t="n"/>
      <c r="AR88" s="85" t="n"/>
      <c r="AS88" s="85" t="n"/>
      <c r="AT88" s="86" t="n"/>
      <c r="AU88" s="57" t="n"/>
      <c r="AV88" s="87" t="n"/>
      <c r="AW88" s="88">
        <f>IF(J88&lt;&gt;" ",VLOOKUP(J88,lista_labores,4,FALSE),"  ")</f>
        <v/>
      </c>
      <c r="AX88" s="88">
        <f>+AW88*L88</f>
        <v/>
      </c>
      <c r="AY88" s="103" t="n"/>
      <c r="BF88" s="136" t="n"/>
    </row>
    <row r="89" ht="13" customHeight="1">
      <c r="B89" s="89" t="n"/>
      <c r="C89" s="90">
        <f>IFERROR(VLOOKUP(D89,lista_trabajadores!B:E,4,FALSE),"")</f>
        <v/>
      </c>
      <c r="D89" s="200" t="n"/>
      <c r="E89" s="198" t="n"/>
      <c r="F89" s="201" t="n"/>
      <c r="G89" s="91" t="n"/>
      <c r="H89" s="96" t="n"/>
      <c r="I89" s="92" t="n"/>
      <c r="J89" s="90">
        <f>IFERROR(VLOOKUP($K89,Tabla1[[NOMBRE]:[CODIGO2]],4,0),"")</f>
        <v/>
      </c>
      <c r="K89" s="26" t="n"/>
      <c r="L89" s="93">
        <f>SUMIF($O$11:$AB$11,"Area Lote",$O89:$AB89)</f>
        <v/>
      </c>
      <c r="M89" s="94" t="n"/>
      <c r="N89" s="94" t="n"/>
      <c r="O89" s="100" t="n"/>
      <c r="P89" s="101" t="n"/>
      <c r="Q89" s="102" t="n"/>
      <c r="R89" s="102" t="n"/>
      <c r="S89" s="100" t="n"/>
      <c r="T89" s="101" t="n"/>
      <c r="U89" s="102" t="n"/>
      <c r="V89" s="102" t="n"/>
      <c r="W89" s="100" t="n"/>
      <c r="X89" s="101" t="n"/>
      <c r="Y89" s="102" t="n"/>
      <c r="Z89" s="102" t="n"/>
      <c r="AA89" s="100" t="n"/>
      <c r="AB89" s="101" t="n"/>
      <c r="AC89" s="85" t="n"/>
      <c r="AD89" s="85" t="n"/>
      <c r="AE89" s="85" t="n"/>
      <c r="AF89" s="85" t="n"/>
      <c r="AG89" s="85" t="n"/>
      <c r="AH89" s="85" t="n"/>
      <c r="AI89" s="85" t="n"/>
      <c r="AJ89" s="85" t="n"/>
      <c r="AK89" s="85" t="n"/>
      <c r="AL89" s="85" t="n"/>
      <c r="AM89" s="85" t="n"/>
      <c r="AN89" s="85" t="n"/>
      <c r="AO89" s="85" t="n"/>
      <c r="AP89" s="85" t="n"/>
      <c r="AQ89" s="85" t="n"/>
      <c r="AR89" s="85" t="n"/>
      <c r="AS89" s="85" t="n"/>
      <c r="AT89" s="86" t="n"/>
      <c r="AU89" s="57" t="n"/>
      <c r="AV89" s="87" t="n"/>
      <c r="AW89" s="88">
        <f>IF(J89&lt;&gt;" ",VLOOKUP(J89,lista_labores,4,FALSE),"  ")</f>
        <v/>
      </c>
      <c r="AX89" s="88">
        <f>+AW89*L89</f>
        <v/>
      </c>
      <c r="AY89" s="103" t="n"/>
      <c r="BF89" s="134" t="n"/>
    </row>
    <row r="90" ht="13" customHeight="1">
      <c r="B90" s="89" t="n"/>
      <c r="C90" s="90">
        <f>IFERROR(VLOOKUP(D90,lista_trabajadores!B:E,4,FALSE),"")</f>
        <v/>
      </c>
      <c r="D90" s="200" t="n"/>
      <c r="E90" s="198" t="n"/>
      <c r="F90" s="201" t="n"/>
      <c r="G90" s="91" t="n"/>
      <c r="H90" s="96" t="n"/>
      <c r="I90" s="92" t="n"/>
      <c r="J90" s="90">
        <f>IFERROR(VLOOKUP($K90,Tabla1[[NOMBRE]:[CODIGO2]],4,0),"")</f>
        <v/>
      </c>
      <c r="K90" s="26" t="n"/>
      <c r="L90" s="93">
        <f>SUMIF($O$11:$AB$11,"Area Lote",$O90:$AB90)</f>
        <v/>
      </c>
      <c r="M90" s="94" t="n"/>
      <c r="N90" s="94" t="n"/>
      <c r="O90" s="100" t="n"/>
      <c r="P90" s="101" t="n"/>
      <c r="Q90" s="102" t="n"/>
      <c r="R90" s="102" t="n"/>
      <c r="S90" s="100" t="n"/>
      <c r="T90" s="101" t="n"/>
      <c r="U90" s="102" t="n"/>
      <c r="V90" s="102" t="n"/>
      <c r="W90" s="100" t="n"/>
      <c r="X90" s="101" t="n"/>
      <c r="Y90" s="102" t="n"/>
      <c r="Z90" s="102" t="n"/>
      <c r="AA90" s="100" t="n"/>
      <c r="AB90" s="101" t="n"/>
      <c r="AC90" s="85" t="n"/>
      <c r="AD90" s="85" t="n"/>
      <c r="AE90" s="85" t="n"/>
      <c r="AF90" s="85" t="n"/>
      <c r="AG90" s="85" t="n"/>
      <c r="AH90" s="85" t="n"/>
      <c r="AI90" s="85" t="n"/>
      <c r="AJ90" s="85" t="n"/>
      <c r="AK90" s="85" t="n"/>
      <c r="AL90" s="85" t="n"/>
      <c r="AM90" s="85" t="n"/>
      <c r="AN90" s="85" t="n"/>
      <c r="AO90" s="85" t="n"/>
      <c r="AP90" s="85" t="n"/>
      <c r="AQ90" s="85" t="n"/>
      <c r="AR90" s="85" t="n"/>
      <c r="AS90" s="85" t="n"/>
      <c r="AT90" s="86" t="n"/>
      <c r="AU90" s="57" t="n"/>
      <c r="AV90" s="87" t="n"/>
      <c r="AW90" s="88">
        <f>IF(J90&lt;&gt;" ",VLOOKUP(J90,lista_labores,4,FALSE),"  ")</f>
        <v/>
      </c>
      <c r="AX90" s="88">
        <f>+AW90*L90</f>
        <v/>
      </c>
      <c r="AY90" s="103" t="n"/>
      <c r="BF90" s="134" t="n"/>
    </row>
    <row r="91" ht="13" customHeight="1">
      <c r="B91" s="89" t="n"/>
      <c r="C91" s="90">
        <f>IFERROR(VLOOKUP(D91,lista_trabajadores!B:E,4,FALSE),"")</f>
        <v/>
      </c>
      <c r="D91" s="200" t="n"/>
      <c r="E91" s="198" t="n"/>
      <c r="F91" s="201" t="n"/>
      <c r="G91" s="91" t="n"/>
      <c r="H91" s="96" t="n"/>
      <c r="I91" s="92" t="n"/>
      <c r="J91" s="90">
        <f>IFERROR(VLOOKUP($K91,Tabla1[[NOMBRE]:[CODIGO2]],4,0),"")</f>
        <v/>
      </c>
      <c r="K91" s="26" t="n"/>
      <c r="L91" s="93">
        <f>SUMIF($O$11:$AB$11,"Area Lote",$O91:$AB91)</f>
        <v/>
      </c>
      <c r="M91" s="94" t="n"/>
      <c r="N91" s="94" t="n"/>
      <c r="O91" s="100" t="n"/>
      <c r="P91" s="101" t="n"/>
      <c r="Q91" s="102" t="n"/>
      <c r="R91" s="102" t="n"/>
      <c r="S91" s="100" t="n"/>
      <c r="T91" s="101" t="n"/>
      <c r="U91" s="102" t="n"/>
      <c r="V91" s="102" t="n"/>
      <c r="W91" s="100" t="n"/>
      <c r="X91" s="101" t="n"/>
      <c r="Y91" s="102" t="n"/>
      <c r="Z91" s="102" t="n"/>
      <c r="AA91" s="100" t="n"/>
      <c r="AB91" s="101" t="n"/>
      <c r="AC91" s="85" t="n"/>
      <c r="AD91" s="85" t="n"/>
      <c r="AE91" s="85" t="n"/>
      <c r="AF91" s="85" t="n"/>
      <c r="AG91" s="85" t="n"/>
      <c r="AH91" s="85" t="n"/>
      <c r="AI91" s="85" t="n"/>
      <c r="AJ91" s="85" t="n"/>
      <c r="AK91" s="85" t="n"/>
      <c r="AL91" s="85" t="n"/>
      <c r="AM91" s="85" t="n"/>
      <c r="AN91" s="85" t="n"/>
      <c r="AO91" s="85" t="n"/>
      <c r="AP91" s="85" t="n"/>
      <c r="AQ91" s="85" t="n"/>
      <c r="AR91" s="85" t="n"/>
      <c r="AS91" s="85" t="n"/>
      <c r="AT91" s="86" t="n"/>
      <c r="AU91" s="57" t="n"/>
      <c r="AV91" s="87" t="n"/>
      <c r="AW91" s="88">
        <f>IF(J91&lt;&gt;" ",VLOOKUP(J91,lista_labores,4,FALSE),"  ")</f>
        <v/>
      </c>
      <c r="AX91" s="88">
        <f>+AW91*L91</f>
        <v/>
      </c>
      <c r="AY91" s="103" t="n"/>
      <c r="BF91" s="134" t="n"/>
    </row>
    <row r="92" ht="13" customHeight="1">
      <c r="B92" s="89" t="n"/>
      <c r="C92" s="90">
        <f>IFERROR(VLOOKUP(D92,lista_trabajadores!B:E,4,FALSE),"")</f>
        <v/>
      </c>
      <c r="D92" s="200" t="n"/>
      <c r="E92" s="198" t="n"/>
      <c r="F92" s="201" t="n"/>
      <c r="G92" s="91" t="n"/>
      <c r="H92" s="96" t="n"/>
      <c r="I92" s="92" t="n"/>
      <c r="J92" s="90">
        <f>IFERROR(VLOOKUP($K92,Tabla1[[NOMBRE]:[CODIGO2]],4,0),"")</f>
        <v/>
      </c>
      <c r="K92" s="26" t="n"/>
      <c r="L92" s="93">
        <f>SUMIF($O$11:$AB$11,"Area Lote",$O92:$AB92)</f>
        <v/>
      </c>
      <c r="M92" s="94" t="n"/>
      <c r="N92" s="94" t="n"/>
      <c r="O92" s="100" t="n"/>
      <c r="P92" s="101" t="n"/>
      <c r="Q92" s="102" t="n"/>
      <c r="R92" s="102" t="n"/>
      <c r="S92" s="100" t="n"/>
      <c r="T92" s="101" t="n"/>
      <c r="U92" s="102" t="n"/>
      <c r="V92" s="102" t="n"/>
      <c r="W92" s="100" t="n"/>
      <c r="X92" s="101" t="n"/>
      <c r="Y92" s="102" t="n"/>
      <c r="Z92" s="102" t="n"/>
      <c r="AA92" s="100" t="n"/>
      <c r="AB92" s="101" t="n"/>
      <c r="AC92" s="85" t="n"/>
      <c r="AD92" s="85" t="n"/>
      <c r="AE92" s="85" t="n"/>
      <c r="AF92" s="85" t="n"/>
      <c r="AG92" s="85" t="n"/>
      <c r="AH92" s="85" t="n"/>
      <c r="AI92" s="85" t="n"/>
      <c r="AJ92" s="85" t="n"/>
      <c r="AK92" s="85" t="n"/>
      <c r="AL92" s="85" t="n"/>
      <c r="AM92" s="85" t="n"/>
      <c r="AN92" s="85" t="n"/>
      <c r="AO92" s="85" t="n"/>
      <c r="AP92" s="85" t="n"/>
      <c r="AQ92" s="85" t="n"/>
      <c r="AR92" s="85" t="n"/>
      <c r="AS92" s="85" t="n"/>
      <c r="AT92" s="86" t="n"/>
      <c r="AU92" s="57" t="n"/>
      <c r="AV92" s="87" t="n"/>
      <c r="AW92" s="88">
        <f>IF(J92&lt;&gt;" ",VLOOKUP(J92,lista_labores,4,FALSE),"  ")</f>
        <v/>
      </c>
      <c r="AX92" s="88">
        <f>+AW92*L92</f>
        <v/>
      </c>
      <c r="AY92" s="103" t="n"/>
      <c r="BF92" s="134" t="n"/>
    </row>
    <row r="93" ht="13" customHeight="1">
      <c r="B93" s="89" t="n"/>
      <c r="C93" s="90">
        <f>IFERROR(VLOOKUP(D93,lista_trabajadores!B:E,4,FALSE),"")</f>
        <v/>
      </c>
      <c r="D93" s="200" t="n"/>
      <c r="E93" s="198" t="n"/>
      <c r="F93" s="201" t="n"/>
      <c r="G93" s="91" t="n"/>
      <c r="H93" s="96" t="n"/>
      <c r="I93" s="92" t="n"/>
      <c r="J93" s="90">
        <f>IFERROR(VLOOKUP($K93,Tabla1[[NOMBRE]:[CODIGO2]],4,0),"")</f>
        <v/>
      </c>
      <c r="K93" s="26" t="n"/>
      <c r="L93" s="93">
        <f>SUMIF($O$11:$AB$11,"Area Lote",$O93:$AB93)</f>
        <v/>
      </c>
      <c r="M93" s="94" t="n"/>
      <c r="N93" s="94" t="n"/>
      <c r="O93" s="100" t="n"/>
      <c r="P93" s="101" t="n"/>
      <c r="Q93" s="102" t="n"/>
      <c r="R93" s="102" t="n"/>
      <c r="S93" s="100" t="n"/>
      <c r="T93" s="101" t="n"/>
      <c r="U93" s="102" t="n"/>
      <c r="V93" s="102" t="n"/>
      <c r="W93" s="100" t="n"/>
      <c r="X93" s="101" t="n"/>
      <c r="Y93" s="102" t="n"/>
      <c r="Z93" s="102" t="n"/>
      <c r="AA93" s="100" t="n"/>
      <c r="AB93" s="101" t="n"/>
      <c r="AC93" s="85" t="n"/>
      <c r="AD93" s="85" t="n"/>
      <c r="AE93" s="85" t="n"/>
      <c r="AF93" s="85" t="n"/>
      <c r="AG93" s="85" t="n"/>
      <c r="AH93" s="85" t="n"/>
      <c r="AI93" s="85" t="n"/>
      <c r="AJ93" s="85" t="n"/>
      <c r="AK93" s="85" t="n"/>
      <c r="AL93" s="85" t="n"/>
      <c r="AM93" s="85" t="n"/>
      <c r="AN93" s="85" t="n"/>
      <c r="AO93" s="85" t="n"/>
      <c r="AP93" s="85" t="n"/>
      <c r="AQ93" s="85" t="n"/>
      <c r="AR93" s="85" t="n"/>
      <c r="AS93" s="85" t="n"/>
      <c r="AT93" s="86" t="n"/>
      <c r="AU93" s="57" t="n"/>
      <c r="AV93" s="87" t="n"/>
      <c r="AW93" s="88">
        <f>IF(J93&lt;&gt;" ",VLOOKUP(J93,lista_labores,4,FALSE),"  ")</f>
        <v/>
      </c>
      <c r="AX93" s="88">
        <f>+AW93*L93</f>
        <v/>
      </c>
      <c r="AY93" s="103" t="n"/>
      <c r="BF93" s="134" t="n"/>
    </row>
    <row r="94" ht="13" customHeight="1">
      <c r="B94" s="89" t="n"/>
      <c r="C94" s="90">
        <f>IFERROR(VLOOKUP(D94,lista_trabajadores!B:E,4,FALSE),"")</f>
        <v/>
      </c>
      <c r="D94" s="200" t="n"/>
      <c r="E94" s="198" t="n"/>
      <c r="F94" s="201" t="n"/>
      <c r="G94" s="91" t="n"/>
      <c r="H94" s="96" t="n"/>
      <c r="I94" s="92" t="n"/>
      <c r="J94" s="90">
        <f>IFERROR(VLOOKUP($K94,Tabla1[[NOMBRE]:[CODIGO2]],4,0),"")</f>
        <v/>
      </c>
      <c r="K94" s="26" t="n"/>
      <c r="L94" s="93">
        <f>SUMIF($O$11:$AB$11,"Area Lote",$O94:$AB94)</f>
        <v/>
      </c>
      <c r="M94" s="94" t="n"/>
      <c r="N94" s="94" t="n"/>
      <c r="O94" s="100" t="n"/>
      <c r="P94" s="101" t="n"/>
      <c r="Q94" s="102" t="n"/>
      <c r="R94" s="102" t="n"/>
      <c r="S94" s="100" t="n"/>
      <c r="T94" s="101" t="n"/>
      <c r="U94" s="102" t="n"/>
      <c r="V94" s="102" t="n"/>
      <c r="W94" s="100" t="n"/>
      <c r="X94" s="101" t="n"/>
      <c r="Y94" s="102" t="n"/>
      <c r="Z94" s="102" t="n"/>
      <c r="AA94" s="100" t="n"/>
      <c r="AB94" s="101" t="n"/>
      <c r="AC94" s="85" t="n"/>
      <c r="AD94" s="85" t="n"/>
      <c r="AE94" s="85" t="n"/>
      <c r="AF94" s="85" t="n"/>
      <c r="AG94" s="85" t="n"/>
      <c r="AH94" s="85" t="n"/>
      <c r="AI94" s="85" t="n"/>
      <c r="AJ94" s="85" t="n"/>
      <c r="AK94" s="85" t="n"/>
      <c r="AL94" s="85" t="n"/>
      <c r="AM94" s="85" t="n"/>
      <c r="AN94" s="85" t="n"/>
      <c r="AO94" s="85" t="n"/>
      <c r="AP94" s="85" t="n"/>
      <c r="AQ94" s="85" t="n"/>
      <c r="AR94" s="85" t="n"/>
      <c r="AS94" s="85" t="n"/>
      <c r="AT94" s="86" t="n"/>
      <c r="AU94" s="57" t="n"/>
      <c r="AV94" s="87" t="n"/>
      <c r="AW94" s="88">
        <f>IF(J94&lt;&gt;" ",VLOOKUP(J94,lista_labores,4,FALSE),"  ")</f>
        <v/>
      </c>
      <c r="AX94" s="88">
        <f>+AW94*L94</f>
        <v/>
      </c>
      <c r="AY94" s="103" t="n"/>
      <c r="BF94" s="134" t="n"/>
    </row>
    <row r="95" ht="13" customHeight="1">
      <c r="B95" s="89" t="n"/>
      <c r="C95" s="90">
        <f>IFERROR(VLOOKUP(D95,lista_trabajadores!B:E,4,FALSE),"")</f>
        <v/>
      </c>
      <c r="D95" s="200" t="n"/>
      <c r="E95" s="198" t="n"/>
      <c r="F95" s="201" t="n"/>
      <c r="G95" s="91" t="n"/>
      <c r="H95" s="96" t="n"/>
      <c r="I95" s="92" t="n"/>
      <c r="J95" s="90">
        <f>IFERROR(VLOOKUP($K95,Tabla1[[NOMBRE]:[CODIGO2]],4,0),"")</f>
        <v/>
      </c>
      <c r="K95" s="26" t="n"/>
      <c r="L95" s="93">
        <f>SUMIF($O$11:$AB$11,"Area Lote",$O95:$AB95)</f>
        <v/>
      </c>
      <c r="M95" s="94" t="n"/>
      <c r="N95" s="94" t="n"/>
      <c r="O95" s="100" t="n"/>
      <c r="P95" s="101" t="n"/>
      <c r="Q95" s="102" t="n"/>
      <c r="R95" s="102" t="n"/>
      <c r="S95" s="100" t="n"/>
      <c r="T95" s="101" t="n"/>
      <c r="U95" s="102" t="n"/>
      <c r="V95" s="102" t="n"/>
      <c r="W95" s="100" t="n"/>
      <c r="X95" s="101" t="n"/>
      <c r="Y95" s="102" t="n"/>
      <c r="Z95" s="102" t="n"/>
      <c r="AA95" s="100" t="n"/>
      <c r="AB95" s="101" t="n"/>
      <c r="AC95" s="85" t="n"/>
      <c r="AD95" s="85" t="n"/>
      <c r="AE95" s="85" t="n"/>
      <c r="AF95" s="85" t="n"/>
      <c r="AG95" s="85" t="n"/>
      <c r="AH95" s="85" t="n"/>
      <c r="AI95" s="85" t="n"/>
      <c r="AJ95" s="85" t="n"/>
      <c r="AK95" s="85" t="n"/>
      <c r="AL95" s="85" t="n"/>
      <c r="AM95" s="85" t="n"/>
      <c r="AN95" s="85" t="n"/>
      <c r="AO95" s="85" t="n"/>
      <c r="AP95" s="85" t="n"/>
      <c r="AQ95" s="85" t="n"/>
      <c r="AR95" s="85" t="n"/>
      <c r="AS95" s="85" t="n"/>
      <c r="AT95" s="86" t="n"/>
      <c r="AU95" s="57" t="n"/>
      <c r="AV95" s="87" t="n"/>
      <c r="AW95" s="88">
        <f>IF(J95&lt;&gt;" ",VLOOKUP(J95,lista_labores,4,FALSE),"  ")</f>
        <v/>
      </c>
      <c r="AX95" s="88">
        <f>+AW95*L95</f>
        <v/>
      </c>
      <c r="AY95" s="103" t="n"/>
      <c r="BF95" s="134" t="n"/>
    </row>
    <row r="96" ht="13" customHeight="1">
      <c r="B96" s="89" t="n"/>
      <c r="C96" s="90">
        <f>IFERROR(VLOOKUP(D96,lista_trabajadores!B:E,4,FALSE),"")</f>
        <v/>
      </c>
      <c r="D96" s="200" t="n"/>
      <c r="E96" s="198" t="n"/>
      <c r="F96" s="201" t="n"/>
      <c r="G96" s="91" t="n"/>
      <c r="H96" s="96" t="n"/>
      <c r="I96" s="92" t="n"/>
      <c r="J96" s="90">
        <f>IFERROR(VLOOKUP($K96,Tabla1[[NOMBRE]:[CODIGO2]],4,0),"")</f>
        <v/>
      </c>
      <c r="K96" s="26" t="n"/>
      <c r="L96" s="93">
        <f>SUMIF($O$11:$AB$11,"Area Lote",$O96:$AB96)</f>
        <v/>
      </c>
      <c r="M96" s="94" t="n"/>
      <c r="N96" s="94" t="n"/>
      <c r="O96" s="100" t="n"/>
      <c r="P96" s="101" t="n"/>
      <c r="Q96" s="102" t="n"/>
      <c r="R96" s="102" t="n"/>
      <c r="S96" s="100" t="n"/>
      <c r="T96" s="101" t="n"/>
      <c r="U96" s="102" t="n"/>
      <c r="V96" s="102" t="n"/>
      <c r="W96" s="100" t="n"/>
      <c r="X96" s="101" t="n"/>
      <c r="Y96" s="102" t="n"/>
      <c r="Z96" s="102" t="n"/>
      <c r="AA96" s="100" t="n"/>
      <c r="AB96" s="101" t="n"/>
      <c r="AC96" s="85" t="n"/>
      <c r="AD96" s="85" t="n"/>
      <c r="AE96" s="85" t="n"/>
      <c r="AF96" s="85" t="n"/>
      <c r="AG96" s="85" t="n"/>
      <c r="AH96" s="85" t="n"/>
      <c r="AI96" s="85" t="n"/>
      <c r="AJ96" s="85" t="n"/>
      <c r="AK96" s="85" t="n"/>
      <c r="AL96" s="85" t="n"/>
      <c r="AM96" s="85" t="n"/>
      <c r="AN96" s="85" t="n"/>
      <c r="AO96" s="85" t="n"/>
      <c r="AP96" s="85" t="n"/>
      <c r="AQ96" s="85" t="n"/>
      <c r="AR96" s="85" t="n"/>
      <c r="AS96" s="85" t="n"/>
      <c r="AT96" s="86" t="n"/>
      <c r="AU96" s="57" t="n"/>
      <c r="AV96" s="87" t="n"/>
      <c r="AW96" s="88">
        <f>IF(J96&lt;&gt;" ",VLOOKUP(J96,lista_labores,4,FALSE),"  ")</f>
        <v/>
      </c>
      <c r="AX96" s="88">
        <f>+AW96*L96</f>
        <v/>
      </c>
      <c r="AY96" s="103" t="n"/>
      <c r="BF96" s="134" t="n"/>
    </row>
    <row r="97" ht="13" customHeight="1">
      <c r="B97" s="89" t="n"/>
      <c r="C97" s="90">
        <f>IFERROR(VLOOKUP(D97,lista_trabajadores!B:E,4,FALSE),"")</f>
        <v/>
      </c>
      <c r="D97" s="200" t="n"/>
      <c r="E97" s="198" t="n"/>
      <c r="F97" s="201" t="n"/>
      <c r="G97" s="91" t="n"/>
      <c r="H97" s="96" t="n"/>
      <c r="I97" s="92" t="n"/>
      <c r="J97" s="90">
        <f>IFERROR(VLOOKUP($K97,Tabla1[[NOMBRE]:[CODIGO2]],4,0),"")</f>
        <v/>
      </c>
      <c r="K97" s="26" t="n"/>
      <c r="L97" s="93">
        <f>SUMIF($O$11:$AB$11,"Area Lote",$O97:$AB97)</f>
        <v/>
      </c>
      <c r="M97" s="94" t="n"/>
      <c r="N97" s="94" t="n"/>
      <c r="O97" s="100" t="n"/>
      <c r="P97" s="101" t="n"/>
      <c r="Q97" s="102" t="n"/>
      <c r="R97" s="102" t="n"/>
      <c r="S97" s="100" t="n"/>
      <c r="T97" s="101" t="n"/>
      <c r="U97" s="102" t="n"/>
      <c r="V97" s="102" t="n"/>
      <c r="W97" s="100" t="n"/>
      <c r="X97" s="101" t="n"/>
      <c r="Y97" s="102" t="n"/>
      <c r="Z97" s="102" t="n"/>
      <c r="AA97" s="100" t="n"/>
      <c r="AB97" s="101" t="n"/>
      <c r="AC97" s="85" t="n"/>
      <c r="AD97" s="85" t="n"/>
      <c r="AE97" s="85" t="n"/>
      <c r="AF97" s="85" t="n"/>
      <c r="AG97" s="85" t="n"/>
      <c r="AH97" s="85" t="n"/>
      <c r="AI97" s="85" t="n"/>
      <c r="AJ97" s="85" t="n"/>
      <c r="AK97" s="85" t="n"/>
      <c r="AL97" s="85" t="n"/>
      <c r="AM97" s="85" t="n"/>
      <c r="AN97" s="85" t="n"/>
      <c r="AO97" s="85" t="n"/>
      <c r="AP97" s="85" t="n"/>
      <c r="AQ97" s="85" t="n"/>
      <c r="AR97" s="85" t="n"/>
      <c r="AS97" s="85" t="n"/>
      <c r="AT97" s="86" t="n"/>
      <c r="AU97" s="57" t="n"/>
      <c r="AV97" s="87" t="n"/>
      <c r="AW97" s="88">
        <f>IF(J97&lt;&gt;" ",VLOOKUP(J97,lista_labores,4,FALSE),"  ")</f>
        <v/>
      </c>
      <c r="AX97" s="88">
        <f>+AW97*L97</f>
        <v/>
      </c>
      <c r="AY97" s="103" t="n"/>
      <c r="BF97" s="134" t="n"/>
    </row>
    <row r="98" ht="13" customHeight="1">
      <c r="B98" s="89" t="n"/>
      <c r="C98" s="90">
        <f>IFERROR(VLOOKUP(D98,lista_trabajadores!B:E,4,FALSE),"")</f>
        <v/>
      </c>
      <c r="D98" s="200" t="n"/>
      <c r="E98" s="198" t="n"/>
      <c r="F98" s="201" t="n"/>
      <c r="G98" s="91" t="n"/>
      <c r="H98" s="96" t="n"/>
      <c r="I98" s="92" t="n"/>
      <c r="J98" s="90">
        <f>IFERROR(VLOOKUP($K98,Tabla1[[NOMBRE]:[CODIGO2]],4,0),"")</f>
        <v/>
      </c>
      <c r="K98" s="26" t="n"/>
      <c r="L98" s="93">
        <f>SUMIF($O$11:$AB$11,"Area Lote",$O98:$AB98)</f>
        <v/>
      </c>
      <c r="M98" s="94" t="n"/>
      <c r="N98" s="94" t="n"/>
      <c r="O98" s="100" t="n"/>
      <c r="P98" s="101" t="n"/>
      <c r="Q98" s="102" t="n"/>
      <c r="R98" s="102" t="n"/>
      <c r="S98" s="100" t="n"/>
      <c r="T98" s="101" t="n"/>
      <c r="U98" s="102" t="n"/>
      <c r="V98" s="102" t="n"/>
      <c r="W98" s="100" t="n"/>
      <c r="X98" s="101" t="n"/>
      <c r="Y98" s="102" t="n"/>
      <c r="Z98" s="102" t="n"/>
      <c r="AA98" s="100" t="n"/>
      <c r="AB98" s="101" t="n"/>
      <c r="AC98" s="85" t="n"/>
      <c r="AD98" s="85" t="n"/>
      <c r="AE98" s="85" t="n"/>
      <c r="AF98" s="85" t="n"/>
      <c r="AG98" s="85" t="n"/>
      <c r="AH98" s="85" t="n"/>
      <c r="AI98" s="85" t="n"/>
      <c r="AJ98" s="85" t="n"/>
      <c r="AK98" s="85" t="n"/>
      <c r="AL98" s="85" t="n"/>
      <c r="AM98" s="85" t="n"/>
      <c r="AN98" s="85" t="n"/>
      <c r="AO98" s="85" t="n"/>
      <c r="AP98" s="85" t="n"/>
      <c r="AQ98" s="85" t="n"/>
      <c r="AR98" s="85" t="n"/>
      <c r="AS98" s="85" t="n"/>
      <c r="AT98" s="86" t="n"/>
      <c r="AU98" s="57" t="n"/>
      <c r="AV98" s="87" t="n"/>
      <c r="AW98" s="88">
        <f>IF(J98&lt;&gt;" ",VLOOKUP(J98,lista_labores,4,FALSE),"  ")</f>
        <v/>
      </c>
      <c r="AX98" s="88">
        <f>+AW98*L98</f>
        <v/>
      </c>
      <c r="AY98" s="103" t="n"/>
      <c r="BF98" s="134" t="n"/>
    </row>
    <row r="99" ht="13" customHeight="1">
      <c r="B99" s="89" t="n"/>
      <c r="C99" s="90">
        <f>IFERROR(VLOOKUP(D99,lista_trabajadores!B:E,4,FALSE),"")</f>
        <v/>
      </c>
      <c r="D99" s="200" t="n"/>
      <c r="E99" s="198" t="n"/>
      <c r="F99" s="201" t="n"/>
      <c r="G99" s="91" t="n"/>
      <c r="H99" s="96" t="n"/>
      <c r="I99" s="92" t="n"/>
      <c r="J99" s="90">
        <f>IFERROR(VLOOKUP($K99,Tabla1[[NOMBRE]:[CODIGO2]],4,0),"")</f>
        <v/>
      </c>
      <c r="K99" s="26" t="n"/>
      <c r="L99" s="93">
        <f>SUMIF($O$11:$AB$11,"Area Lote",$O99:$AB99)</f>
        <v/>
      </c>
      <c r="M99" s="94" t="n"/>
      <c r="N99" s="94" t="n"/>
      <c r="O99" s="100" t="n"/>
      <c r="P99" s="101" t="n"/>
      <c r="Q99" s="102" t="n"/>
      <c r="R99" s="102" t="n"/>
      <c r="S99" s="100" t="n"/>
      <c r="T99" s="101" t="n"/>
      <c r="U99" s="102" t="n"/>
      <c r="V99" s="102" t="n"/>
      <c r="W99" s="100" t="n"/>
      <c r="X99" s="101" t="n"/>
      <c r="Y99" s="102" t="n"/>
      <c r="Z99" s="102" t="n"/>
      <c r="AA99" s="100" t="n"/>
      <c r="AB99" s="101" t="n"/>
      <c r="AC99" s="85" t="n"/>
      <c r="AD99" s="85" t="n"/>
      <c r="AE99" s="85" t="n"/>
      <c r="AF99" s="85" t="n"/>
      <c r="AG99" s="85" t="n"/>
      <c r="AH99" s="85" t="n"/>
      <c r="AI99" s="85" t="n"/>
      <c r="AJ99" s="85" t="n"/>
      <c r="AK99" s="85" t="n"/>
      <c r="AL99" s="85" t="n"/>
      <c r="AM99" s="85" t="n"/>
      <c r="AN99" s="85" t="n"/>
      <c r="AO99" s="85" t="n"/>
      <c r="AP99" s="85" t="n"/>
      <c r="AQ99" s="85" t="n"/>
      <c r="AR99" s="85" t="n"/>
      <c r="AS99" s="85" t="n"/>
      <c r="AT99" s="86" t="n"/>
      <c r="AU99" s="57" t="n"/>
      <c r="AV99" s="87" t="n"/>
      <c r="AW99" s="88">
        <f>IF(J99&lt;&gt;" ",VLOOKUP(J99,lista_labores,4,FALSE),"  ")</f>
        <v/>
      </c>
      <c r="AX99" s="88">
        <f>+AW99*L99</f>
        <v/>
      </c>
      <c r="AY99" s="103" t="n"/>
      <c r="BF99" s="134" t="n"/>
    </row>
    <row r="100" ht="13" customHeight="1">
      <c r="B100" s="89" t="n"/>
      <c r="C100" s="90">
        <f>IFERROR(VLOOKUP(D100,lista_trabajadores!B:E,4,FALSE),"")</f>
        <v/>
      </c>
      <c r="D100" s="200" t="n"/>
      <c r="E100" s="198" t="n"/>
      <c r="F100" s="201" t="n"/>
      <c r="G100" s="91" t="n"/>
      <c r="H100" s="96" t="n"/>
      <c r="I100" s="92" t="n"/>
      <c r="J100" s="90">
        <f>IFERROR(VLOOKUP($K100,Tabla1[[NOMBRE]:[CODIGO2]],4,0),"")</f>
        <v/>
      </c>
      <c r="K100" s="26" t="n"/>
      <c r="L100" s="93">
        <f>SUMIF($O$11:$AB$11,"Area Lote",$O100:$AB100)</f>
        <v/>
      </c>
      <c r="M100" s="94" t="n"/>
      <c r="N100" s="94" t="n"/>
      <c r="O100" s="100" t="n"/>
      <c r="P100" s="101" t="n"/>
      <c r="Q100" s="102" t="n"/>
      <c r="R100" s="102" t="n"/>
      <c r="S100" s="100" t="n"/>
      <c r="T100" s="101" t="n"/>
      <c r="U100" s="102" t="n"/>
      <c r="V100" s="102" t="n"/>
      <c r="W100" s="100" t="n"/>
      <c r="X100" s="101" t="n"/>
      <c r="Y100" s="102" t="n"/>
      <c r="Z100" s="102" t="n"/>
      <c r="AA100" s="100" t="n"/>
      <c r="AB100" s="101" t="n"/>
      <c r="AC100" s="85" t="n"/>
      <c r="AD100" s="85" t="n"/>
      <c r="AE100" s="85" t="n"/>
      <c r="AF100" s="85" t="n"/>
      <c r="AG100" s="85" t="n"/>
      <c r="AH100" s="85" t="n"/>
      <c r="AI100" s="85" t="n"/>
      <c r="AJ100" s="85" t="n"/>
      <c r="AK100" s="85" t="n"/>
      <c r="AL100" s="85" t="n"/>
      <c r="AM100" s="85" t="n"/>
      <c r="AN100" s="85" t="n"/>
      <c r="AO100" s="85" t="n"/>
      <c r="AP100" s="85" t="n"/>
      <c r="AQ100" s="85" t="n"/>
      <c r="AR100" s="85" t="n"/>
      <c r="AS100" s="85" t="n"/>
      <c r="AT100" s="86" t="n"/>
      <c r="AU100" s="57" t="n"/>
      <c r="AV100" s="87" t="n"/>
      <c r="AW100" s="88">
        <f>IF(J100&lt;&gt;" ",VLOOKUP(J100,lista_labores,4,FALSE),"  ")</f>
        <v/>
      </c>
      <c r="AX100" s="88">
        <f>+AW100*L100</f>
        <v/>
      </c>
      <c r="AY100" s="103" t="n"/>
      <c r="BF100" s="134" t="n"/>
    </row>
    <row r="101" ht="13" customHeight="1">
      <c r="B101" s="89" t="n"/>
      <c r="C101" s="90">
        <f>IFERROR(VLOOKUP(D101,lista_trabajadores!B:E,4,FALSE),"")</f>
        <v/>
      </c>
      <c r="D101" s="200" t="n"/>
      <c r="E101" s="198" t="n"/>
      <c r="F101" s="201" t="n"/>
      <c r="G101" s="91" t="n"/>
      <c r="H101" s="96" t="n"/>
      <c r="I101" s="92" t="n"/>
      <c r="J101" s="90">
        <f>IFERROR(VLOOKUP($K101,Tabla1[[NOMBRE]:[CODIGO2]],4,0),"")</f>
        <v/>
      </c>
      <c r="K101" s="26" t="n"/>
      <c r="L101" s="93">
        <f>SUMIF($O$11:$AB$11,"Area Lote",$O101:$AB101)</f>
        <v/>
      </c>
      <c r="M101" s="94" t="n"/>
      <c r="N101" s="94" t="n"/>
      <c r="O101" s="100" t="n"/>
      <c r="P101" s="101" t="n"/>
      <c r="Q101" s="102" t="n"/>
      <c r="R101" s="102" t="n"/>
      <c r="S101" s="100" t="n"/>
      <c r="T101" s="101" t="n"/>
      <c r="U101" s="102" t="n"/>
      <c r="V101" s="102" t="n"/>
      <c r="W101" s="100" t="n"/>
      <c r="X101" s="101" t="n"/>
      <c r="Y101" s="102" t="n"/>
      <c r="Z101" s="102" t="n"/>
      <c r="AA101" s="100" t="n"/>
      <c r="AB101" s="101" t="n"/>
      <c r="AC101" s="85" t="n"/>
      <c r="AD101" s="85" t="n"/>
      <c r="AE101" s="85" t="n"/>
      <c r="AF101" s="85" t="n"/>
      <c r="AG101" s="85" t="n"/>
      <c r="AH101" s="85" t="n"/>
      <c r="AI101" s="85" t="n"/>
      <c r="AJ101" s="85" t="n"/>
      <c r="AK101" s="85" t="n"/>
      <c r="AL101" s="85" t="n"/>
      <c r="AM101" s="85" t="n"/>
      <c r="AN101" s="85" t="n"/>
      <c r="AO101" s="85" t="n"/>
      <c r="AP101" s="85" t="n"/>
      <c r="AQ101" s="85" t="n"/>
      <c r="AR101" s="85" t="n"/>
      <c r="AS101" s="85" t="n"/>
      <c r="AT101" s="86" t="n"/>
      <c r="AU101" s="57" t="n"/>
      <c r="AV101" s="87" t="n"/>
      <c r="AW101" s="88">
        <f>IF(J101&lt;&gt;" ",VLOOKUP(J101,lista_labores,4,FALSE),"  ")</f>
        <v/>
      </c>
      <c r="AX101" s="88">
        <f>+AW101*L101</f>
        <v/>
      </c>
      <c r="AY101" s="103" t="n"/>
      <c r="BF101" s="134" t="n"/>
    </row>
    <row r="102" ht="13" customHeight="1">
      <c r="B102" s="89" t="n"/>
      <c r="C102" s="90">
        <f>IFERROR(VLOOKUP(D102,lista_trabajadores!B:E,4,FALSE),"")</f>
        <v/>
      </c>
      <c r="D102" s="200" t="n"/>
      <c r="E102" s="198" t="n"/>
      <c r="F102" s="201" t="n"/>
      <c r="G102" s="91" t="n"/>
      <c r="H102" s="96" t="n"/>
      <c r="I102" s="92" t="n"/>
      <c r="J102" s="90">
        <f>IFERROR(VLOOKUP($K102,Tabla1[[NOMBRE]:[CODIGO2]],4,0),"")</f>
        <v/>
      </c>
      <c r="K102" s="26" t="n"/>
      <c r="L102" s="93">
        <f>SUMIF($O$11:$AB$11,"Area Lote",$O102:$AB102)</f>
        <v/>
      </c>
      <c r="M102" s="94" t="n"/>
      <c r="N102" s="94" t="n"/>
      <c r="O102" s="100" t="n"/>
      <c r="P102" s="101" t="n"/>
      <c r="Q102" s="102" t="n"/>
      <c r="R102" s="102" t="n"/>
      <c r="S102" s="100" t="n"/>
      <c r="T102" s="101" t="n"/>
      <c r="U102" s="102" t="n"/>
      <c r="V102" s="102" t="n"/>
      <c r="W102" s="100" t="n"/>
      <c r="X102" s="101" t="n"/>
      <c r="Y102" s="102" t="n"/>
      <c r="Z102" s="102" t="n"/>
      <c r="AA102" s="100" t="n"/>
      <c r="AB102" s="101" t="n"/>
      <c r="AC102" s="85" t="n"/>
      <c r="AD102" s="85" t="n"/>
      <c r="AE102" s="85" t="n"/>
      <c r="AF102" s="85" t="n"/>
      <c r="AG102" s="85" t="n"/>
      <c r="AH102" s="85" t="n"/>
      <c r="AI102" s="85" t="n"/>
      <c r="AJ102" s="85" t="n"/>
      <c r="AK102" s="85" t="n"/>
      <c r="AL102" s="85" t="n"/>
      <c r="AM102" s="85" t="n"/>
      <c r="AN102" s="85" t="n"/>
      <c r="AO102" s="85" t="n"/>
      <c r="AP102" s="85" t="n"/>
      <c r="AQ102" s="85" t="n"/>
      <c r="AR102" s="85" t="n"/>
      <c r="AS102" s="85" t="n"/>
      <c r="AT102" s="86" t="n"/>
      <c r="AU102" s="57" t="n"/>
      <c r="AV102" s="87" t="n"/>
      <c r="AW102" s="88">
        <f>IF(J102&lt;&gt;" ",VLOOKUP(J102,lista_labores,4,FALSE),"  ")</f>
        <v/>
      </c>
      <c r="AX102" s="88">
        <f>+AW102*L102</f>
        <v/>
      </c>
      <c r="AY102" s="103" t="n"/>
      <c r="BF102" s="134" t="n"/>
    </row>
    <row r="103" ht="13" customHeight="1">
      <c r="B103" s="89" t="n"/>
      <c r="C103" s="90">
        <f>IFERROR(VLOOKUP(D103,lista_trabajadores!B:E,4,FALSE),"")</f>
        <v/>
      </c>
      <c r="D103" s="200" t="n"/>
      <c r="E103" s="198" t="n"/>
      <c r="F103" s="201" t="n"/>
      <c r="G103" s="91" t="n"/>
      <c r="H103" s="96" t="n"/>
      <c r="I103" s="92" t="n"/>
      <c r="J103" s="90">
        <f>IFERROR(VLOOKUP($K103,Tabla1[[NOMBRE]:[CODIGO2]],4,0),"")</f>
        <v/>
      </c>
      <c r="K103" s="26" t="n"/>
      <c r="L103" s="93">
        <f>SUMIF($O$11:$AB$11,"Area Lote",$O103:$AB103)</f>
        <v/>
      </c>
      <c r="M103" s="94" t="n"/>
      <c r="N103" s="94" t="n"/>
      <c r="O103" s="100" t="n"/>
      <c r="P103" s="101" t="n"/>
      <c r="Q103" s="102" t="n"/>
      <c r="R103" s="102" t="n"/>
      <c r="S103" s="100" t="n"/>
      <c r="T103" s="101" t="n"/>
      <c r="U103" s="102" t="n"/>
      <c r="V103" s="102" t="n"/>
      <c r="W103" s="100" t="n"/>
      <c r="X103" s="101" t="n"/>
      <c r="Y103" s="102" t="n"/>
      <c r="Z103" s="102" t="n"/>
      <c r="AA103" s="100" t="n"/>
      <c r="AB103" s="101" t="n"/>
      <c r="AC103" s="85" t="n"/>
      <c r="AD103" s="85" t="n"/>
      <c r="AE103" s="85" t="n"/>
      <c r="AF103" s="85" t="n"/>
      <c r="AG103" s="85" t="n"/>
      <c r="AH103" s="85" t="n"/>
      <c r="AI103" s="85" t="n"/>
      <c r="AJ103" s="85" t="n"/>
      <c r="AK103" s="85" t="n"/>
      <c r="AL103" s="85" t="n"/>
      <c r="AM103" s="85" t="n"/>
      <c r="AN103" s="85" t="n"/>
      <c r="AO103" s="85" t="n"/>
      <c r="AP103" s="85" t="n"/>
      <c r="AQ103" s="85" t="n"/>
      <c r="AR103" s="85" t="n"/>
      <c r="AS103" s="85" t="n"/>
      <c r="AT103" s="86" t="n"/>
      <c r="AU103" s="57" t="n"/>
      <c r="AV103" s="87" t="n"/>
      <c r="AW103" s="88">
        <f>IF(J103&lt;&gt;" ",VLOOKUP(J103,lista_labores,4,FALSE),"  ")</f>
        <v/>
      </c>
      <c r="AX103" s="88">
        <f>+AW103*L103</f>
        <v/>
      </c>
      <c r="AY103" s="103" t="n"/>
      <c r="BF103" s="134" t="n"/>
    </row>
    <row r="104" ht="13" customHeight="1">
      <c r="B104" s="89" t="n"/>
      <c r="C104" s="90">
        <f>IFERROR(VLOOKUP(D104,lista_trabajadores!B:E,4,FALSE),"")</f>
        <v/>
      </c>
      <c r="D104" s="200" t="n"/>
      <c r="E104" s="198" t="n"/>
      <c r="F104" s="201" t="n"/>
      <c r="G104" s="91" t="n"/>
      <c r="H104" s="96" t="n"/>
      <c r="I104" s="92" t="n"/>
      <c r="J104" s="90">
        <f>IFERROR(VLOOKUP($K104,Tabla1[[NOMBRE]:[CODIGO2]],4,0),"")</f>
        <v/>
      </c>
      <c r="K104" s="26" t="n"/>
      <c r="L104" s="93">
        <f>SUMIF($O$11:$AB$11,"Area Lote",$O104:$AB104)</f>
        <v/>
      </c>
      <c r="M104" s="94" t="n"/>
      <c r="N104" s="94" t="n"/>
      <c r="O104" s="100" t="n"/>
      <c r="P104" s="101" t="n"/>
      <c r="Q104" s="102" t="n"/>
      <c r="R104" s="102" t="n"/>
      <c r="S104" s="100" t="n"/>
      <c r="T104" s="101" t="n"/>
      <c r="U104" s="102" t="n"/>
      <c r="V104" s="102" t="n"/>
      <c r="W104" s="100" t="n"/>
      <c r="X104" s="101" t="n"/>
      <c r="Y104" s="102" t="n"/>
      <c r="Z104" s="102" t="n"/>
      <c r="AA104" s="100" t="n"/>
      <c r="AB104" s="101" t="n"/>
      <c r="AC104" s="85" t="n"/>
      <c r="AD104" s="85" t="n"/>
      <c r="AE104" s="85" t="n"/>
      <c r="AF104" s="85" t="n"/>
      <c r="AG104" s="85" t="n"/>
      <c r="AH104" s="85" t="n"/>
      <c r="AI104" s="85" t="n"/>
      <c r="AJ104" s="85" t="n"/>
      <c r="AK104" s="85" t="n"/>
      <c r="AL104" s="85" t="n"/>
      <c r="AM104" s="85" t="n"/>
      <c r="AN104" s="85" t="n"/>
      <c r="AO104" s="85" t="n"/>
      <c r="AP104" s="85" t="n"/>
      <c r="AQ104" s="85" t="n"/>
      <c r="AR104" s="85" t="n"/>
      <c r="AS104" s="85" t="n"/>
      <c r="AT104" s="86" t="n"/>
      <c r="AU104" s="57" t="n"/>
      <c r="AV104" s="87" t="n"/>
      <c r="AW104" s="88">
        <f>IF(J104&lt;&gt;" ",VLOOKUP(J104,lista_labores,4,FALSE),"  ")</f>
        <v/>
      </c>
      <c r="AX104" s="88">
        <f>+AW104*L104</f>
        <v/>
      </c>
      <c r="AY104" s="103" t="n"/>
      <c r="BF104" s="134" t="n"/>
    </row>
    <row r="105" ht="13" customHeight="1">
      <c r="B105" s="89" t="n"/>
      <c r="C105" s="90">
        <f>IFERROR(VLOOKUP(D105,lista_trabajadores!B:E,4,FALSE),"")</f>
        <v/>
      </c>
      <c r="D105" s="200" t="n"/>
      <c r="E105" s="198" t="n"/>
      <c r="F105" s="201" t="n"/>
      <c r="G105" s="91" t="n"/>
      <c r="H105" s="96" t="n"/>
      <c r="I105" s="92" t="n"/>
      <c r="J105" s="90">
        <f>IFERROR(VLOOKUP($K105,Tabla1[[NOMBRE]:[CODIGO2]],4,0),"")</f>
        <v/>
      </c>
      <c r="K105" s="26" t="n"/>
      <c r="L105" s="93">
        <f>SUMIF($O$11:$AB$11,"Area Lote",$O105:$AB105)</f>
        <v/>
      </c>
      <c r="M105" s="94" t="n"/>
      <c r="N105" s="94" t="n"/>
      <c r="O105" s="100" t="n"/>
      <c r="P105" s="101" t="n"/>
      <c r="Q105" s="102" t="n"/>
      <c r="R105" s="102" t="n"/>
      <c r="S105" s="100" t="n"/>
      <c r="T105" s="101" t="n"/>
      <c r="U105" s="102" t="n"/>
      <c r="V105" s="102" t="n"/>
      <c r="W105" s="100" t="n"/>
      <c r="X105" s="101" t="n"/>
      <c r="Y105" s="102" t="n"/>
      <c r="Z105" s="102" t="n"/>
      <c r="AA105" s="100" t="n"/>
      <c r="AB105" s="101" t="n"/>
      <c r="AC105" s="85" t="n"/>
      <c r="AD105" s="85" t="n"/>
      <c r="AE105" s="85" t="n"/>
      <c r="AF105" s="85" t="n"/>
      <c r="AG105" s="85" t="n"/>
      <c r="AH105" s="85" t="n"/>
      <c r="AI105" s="85" t="n"/>
      <c r="AJ105" s="85" t="n"/>
      <c r="AK105" s="85" t="n"/>
      <c r="AL105" s="85" t="n"/>
      <c r="AM105" s="85" t="n"/>
      <c r="AN105" s="85" t="n"/>
      <c r="AO105" s="85" t="n"/>
      <c r="AP105" s="85" t="n"/>
      <c r="AQ105" s="85" t="n"/>
      <c r="AR105" s="85" t="n"/>
      <c r="AS105" s="85" t="n"/>
      <c r="AT105" s="86" t="n"/>
      <c r="AU105" s="57" t="n"/>
      <c r="AV105" s="87" t="n"/>
      <c r="AW105" s="88">
        <f>IF(J105&lt;&gt;" ",VLOOKUP(J105,lista_labores,4,FALSE),"  ")</f>
        <v/>
      </c>
      <c r="AX105" s="88">
        <f>+AW105*L105</f>
        <v/>
      </c>
      <c r="AY105" s="103" t="n"/>
      <c r="BF105" s="134" t="n"/>
    </row>
    <row r="106" ht="13" customHeight="1">
      <c r="B106" s="89" t="n"/>
      <c r="C106" s="90">
        <f>IFERROR(VLOOKUP(D106,lista_trabajadores!B:E,4,FALSE),"")</f>
        <v/>
      </c>
      <c r="D106" s="200" t="n"/>
      <c r="E106" s="198" t="n"/>
      <c r="F106" s="201" t="n"/>
      <c r="G106" s="91" t="n"/>
      <c r="H106" s="96" t="n"/>
      <c r="I106" s="92" t="n"/>
      <c r="J106" s="90">
        <f>IFERROR(VLOOKUP($K106,Tabla1[[NOMBRE]:[CODIGO2]],4,0),"")</f>
        <v/>
      </c>
      <c r="K106" s="26" t="n"/>
      <c r="L106" s="93">
        <f>SUMIF($O$11:$AB$11,"Area Lote",$O106:$AB106)</f>
        <v/>
      </c>
      <c r="M106" s="94" t="n"/>
      <c r="N106" s="94" t="n"/>
      <c r="O106" s="100" t="n"/>
      <c r="P106" s="101" t="n"/>
      <c r="Q106" s="102" t="n"/>
      <c r="R106" s="102" t="n"/>
      <c r="S106" s="100" t="n"/>
      <c r="T106" s="101" t="n"/>
      <c r="U106" s="102" t="n"/>
      <c r="V106" s="102" t="n"/>
      <c r="W106" s="100" t="n"/>
      <c r="X106" s="101" t="n"/>
      <c r="Y106" s="102" t="n"/>
      <c r="Z106" s="102" t="n"/>
      <c r="AA106" s="100" t="n"/>
      <c r="AB106" s="101" t="n"/>
      <c r="AC106" s="85" t="n"/>
      <c r="AD106" s="85" t="n"/>
      <c r="AE106" s="85" t="n"/>
      <c r="AF106" s="85" t="n"/>
      <c r="AG106" s="85" t="n"/>
      <c r="AH106" s="85" t="n"/>
      <c r="AI106" s="85" t="n"/>
      <c r="AJ106" s="85" t="n"/>
      <c r="AK106" s="85" t="n"/>
      <c r="AL106" s="85" t="n"/>
      <c r="AM106" s="85" t="n"/>
      <c r="AN106" s="85" t="n"/>
      <c r="AO106" s="85" t="n"/>
      <c r="AP106" s="85" t="n"/>
      <c r="AQ106" s="85" t="n"/>
      <c r="AR106" s="85" t="n"/>
      <c r="AS106" s="85" t="n"/>
      <c r="AT106" s="86" t="n"/>
      <c r="AU106" s="57" t="n"/>
      <c r="AV106" s="87" t="n"/>
      <c r="AW106" s="88">
        <f>IF(J106&lt;&gt;" ",VLOOKUP(J106,lista_labores,4,FALSE),"  ")</f>
        <v/>
      </c>
      <c r="AX106" s="88">
        <f>+AW106*L106</f>
        <v/>
      </c>
      <c r="AY106" s="103" t="n"/>
      <c r="BF106" s="134" t="n"/>
    </row>
    <row r="107" ht="13" customHeight="1">
      <c r="B107" s="89" t="n"/>
      <c r="C107" s="90">
        <f>IFERROR(VLOOKUP(D107,lista_trabajadores!B:E,4,FALSE),"")</f>
        <v/>
      </c>
      <c r="D107" s="200" t="n"/>
      <c r="E107" s="198" t="n"/>
      <c r="F107" s="201" t="n"/>
      <c r="G107" s="91" t="n"/>
      <c r="H107" s="96" t="n"/>
      <c r="I107" s="92" t="n"/>
      <c r="J107" s="90">
        <f>IFERROR(VLOOKUP($K107,Tabla1[[NOMBRE]:[CODIGO2]],4,0),"")</f>
        <v/>
      </c>
      <c r="K107" s="26" t="n"/>
      <c r="L107" s="93">
        <f>SUMIF($O$11:$AB$11,"Area Lote",$O107:$AB107)</f>
        <v/>
      </c>
      <c r="M107" s="94" t="n"/>
      <c r="N107" s="94" t="n"/>
      <c r="O107" s="100" t="n"/>
      <c r="P107" s="101" t="n"/>
      <c r="Q107" s="102" t="n"/>
      <c r="R107" s="102" t="n"/>
      <c r="S107" s="100" t="n"/>
      <c r="T107" s="101" t="n"/>
      <c r="U107" s="102" t="n"/>
      <c r="V107" s="102" t="n"/>
      <c r="W107" s="100" t="n"/>
      <c r="X107" s="101" t="n"/>
      <c r="Y107" s="102" t="n"/>
      <c r="Z107" s="102" t="n"/>
      <c r="AA107" s="100" t="n"/>
      <c r="AB107" s="101" t="n"/>
      <c r="AC107" s="85" t="n"/>
      <c r="AD107" s="85" t="n"/>
      <c r="AE107" s="85" t="n"/>
      <c r="AF107" s="85" t="n"/>
      <c r="AG107" s="85" t="n"/>
      <c r="AH107" s="85" t="n"/>
      <c r="AI107" s="85" t="n"/>
      <c r="AJ107" s="85" t="n"/>
      <c r="AK107" s="85" t="n"/>
      <c r="AL107" s="85" t="n"/>
      <c r="AM107" s="85" t="n"/>
      <c r="AN107" s="85" t="n"/>
      <c r="AO107" s="85" t="n"/>
      <c r="AP107" s="85" t="n"/>
      <c r="AQ107" s="85" t="n"/>
      <c r="AR107" s="85" t="n"/>
      <c r="AS107" s="85" t="n"/>
      <c r="AT107" s="86" t="n"/>
      <c r="AU107" s="57" t="n"/>
      <c r="AV107" s="87" t="n"/>
      <c r="AW107" s="88">
        <f>IF(J107&lt;&gt;" ",VLOOKUP(J107,lista_labores,4,FALSE),"  ")</f>
        <v/>
      </c>
      <c r="AX107" s="88">
        <f>+AW107*L107</f>
        <v/>
      </c>
      <c r="AY107" s="103" t="n"/>
      <c r="BF107" s="134" t="n"/>
    </row>
    <row r="108" ht="13" customHeight="1">
      <c r="B108" s="89" t="n"/>
      <c r="C108" s="90">
        <f>IFERROR(VLOOKUP(D108,lista_trabajadores!B:E,4,FALSE),"")</f>
        <v/>
      </c>
      <c r="D108" s="200" t="n"/>
      <c r="E108" s="198" t="n"/>
      <c r="F108" s="201" t="n"/>
      <c r="G108" s="91" t="n"/>
      <c r="H108" s="96" t="n"/>
      <c r="I108" s="92" t="n"/>
      <c r="J108" s="90">
        <f>IFERROR(VLOOKUP($K108,Tabla1[[NOMBRE]:[CODIGO2]],4,0),"")</f>
        <v/>
      </c>
      <c r="K108" s="26" t="n"/>
      <c r="L108" s="93">
        <f>SUMIF($O$11:$AB$11,"Area Lote",$O108:$AB108)</f>
        <v/>
      </c>
      <c r="M108" s="94" t="n"/>
      <c r="N108" s="94" t="n"/>
      <c r="O108" s="100" t="n"/>
      <c r="P108" s="101" t="n"/>
      <c r="Q108" s="102" t="n"/>
      <c r="R108" s="102" t="n"/>
      <c r="S108" s="100" t="n"/>
      <c r="T108" s="101" t="n"/>
      <c r="U108" s="102" t="n"/>
      <c r="V108" s="102" t="n"/>
      <c r="W108" s="100" t="n"/>
      <c r="X108" s="101" t="n"/>
      <c r="Y108" s="102" t="n"/>
      <c r="Z108" s="102" t="n"/>
      <c r="AA108" s="100" t="n"/>
      <c r="AB108" s="101" t="n"/>
      <c r="AC108" s="85" t="n"/>
      <c r="AD108" s="85" t="n"/>
      <c r="AE108" s="85" t="n"/>
      <c r="AF108" s="85" t="n"/>
      <c r="AG108" s="85" t="n"/>
      <c r="AH108" s="85" t="n"/>
      <c r="AI108" s="85" t="n"/>
      <c r="AJ108" s="85" t="n"/>
      <c r="AK108" s="85" t="n"/>
      <c r="AL108" s="85" t="n"/>
      <c r="AM108" s="85" t="n"/>
      <c r="AN108" s="85" t="n"/>
      <c r="AO108" s="85" t="n"/>
      <c r="AP108" s="85" t="n"/>
      <c r="AQ108" s="85" t="n"/>
      <c r="AR108" s="85" t="n"/>
      <c r="AS108" s="85" t="n"/>
      <c r="AT108" s="86" t="n"/>
      <c r="AU108" s="57" t="n"/>
      <c r="AV108" s="87" t="n"/>
      <c r="AW108" s="88">
        <f>IF(J108&lt;&gt;" ",VLOOKUP(J108,lista_labores,4,FALSE),"  ")</f>
        <v/>
      </c>
      <c r="AX108" s="88">
        <f>+AW108*L108</f>
        <v/>
      </c>
      <c r="AY108" s="103" t="n"/>
      <c r="BF108" s="134" t="n"/>
    </row>
    <row r="109" ht="13" customHeight="1">
      <c r="B109" s="89" t="n"/>
      <c r="C109" s="90">
        <f>IFERROR(VLOOKUP(D109,lista_trabajadores!B:E,4,FALSE),"")</f>
        <v/>
      </c>
      <c r="D109" s="200" t="n"/>
      <c r="E109" s="198" t="n"/>
      <c r="F109" s="201" t="n"/>
      <c r="G109" s="91" t="n"/>
      <c r="H109" s="96" t="n"/>
      <c r="I109" s="92" t="n"/>
      <c r="J109" s="90">
        <f>IFERROR(VLOOKUP($K109,Tabla1[[NOMBRE]:[CODIGO2]],4,0),"")</f>
        <v/>
      </c>
      <c r="K109" s="26" t="n"/>
      <c r="L109" s="93">
        <f>SUMIF($O$11:$AB$11,"Area Lote",$O109:$AB109)</f>
        <v/>
      </c>
      <c r="M109" s="94" t="n"/>
      <c r="N109" s="94" t="n"/>
      <c r="O109" s="100" t="n"/>
      <c r="P109" s="101" t="n"/>
      <c r="Q109" s="102" t="n"/>
      <c r="R109" s="102" t="n"/>
      <c r="S109" s="100" t="n"/>
      <c r="T109" s="101" t="n"/>
      <c r="U109" s="102" t="n"/>
      <c r="V109" s="102" t="n"/>
      <c r="W109" s="100" t="n"/>
      <c r="X109" s="101" t="n"/>
      <c r="Y109" s="102" t="n"/>
      <c r="Z109" s="102" t="n"/>
      <c r="AA109" s="100" t="n"/>
      <c r="AB109" s="101" t="n"/>
      <c r="AC109" s="85" t="n"/>
      <c r="AD109" s="85" t="n"/>
      <c r="AE109" s="85" t="n"/>
      <c r="AF109" s="85" t="n"/>
      <c r="AG109" s="85" t="n"/>
      <c r="AH109" s="85" t="n"/>
      <c r="AI109" s="85" t="n"/>
      <c r="AJ109" s="85" t="n"/>
      <c r="AK109" s="85" t="n"/>
      <c r="AL109" s="85" t="n"/>
      <c r="AM109" s="85" t="n"/>
      <c r="AN109" s="85" t="n"/>
      <c r="AO109" s="85" t="n"/>
      <c r="AP109" s="85" t="n"/>
      <c r="AQ109" s="85" t="n"/>
      <c r="AR109" s="85" t="n"/>
      <c r="AS109" s="85" t="n"/>
      <c r="AT109" s="86" t="n"/>
      <c r="AU109" s="57" t="n"/>
      <c r="AV109" s="87" t="n"/>
      <c r="AW109" s="88">
        <f>IF(J109&lt;&gt;" ",VLOOKUP(J109,lista_labores,4,FALSE),"  ")</f>
        <v/>
      </c>
      <c r="AX109" s="88">
        <f>+AW109*L109</f>
        <v/>
      </c>
      <c r="AY109" s="103" t="n"/>
      <c r="BF109" s="134" t="n"/>
    </row>
    <row r="110" ht="13" customHeight="1">
      <c r="B110" s="89" t="n"/>
      <c r="C110" s="90">
        <f>IFERROR(VLOOKUP(D110,lista_trabajadores!B:E,4,FALSE),"")</f>
        <v/>
      </c>
      <c r="D110" s="200" t="n"/>
      <c r="E110" s="198" t="n"/>
      <c r="F110" s="201" t="n"/>
      <c r="G110" s="91" t="n"/>
      <c r="H110" s="96" t="n"/>
      <c r="I110" s="92" t="n"/>
      <c r="J110" s="90">
        <f>IFERROR(VLOOKUP($K110,Tabla1[[NOMBRE]:[CODIGO2]],4,0),"")</f>
        <v/>
      </c>
      <c r="K110" s="26" t="n"/>
      <c r="L110" s="93">
        <f>SUMIF($O$11:$AB$11,"Area Lote",$O110:$AB110)</f>
        <v/>
      </c>
      <c r="M110" s="94" t="n"/>
      <c r="N110" s="94" t="n"/>
      <c r="O110" s="100" t="n"/>
      <c r="P110" s="101" t="n"/>
      <c r="Q110" s="102" t="n"/>
      <c r="R110" s="102" t="n"/>
      <c r="S110" s="100" t="n"/>
      <c r="T110" s="101" t="n"/>
      <c r="U110" s="102" t="n"/>
      <c r="V110" s="102" t="n"/>
      <c r="W110" s="100" t="n"/>
      <c r="X110" s="101" t="n"/>
      <c r="Y110" s="102" t="n"/>
      <c r="Z110" s="102" t="n"/>
      <c r="AA110" s="100" t="n"/>
      <c r="AB110" s="101" t="n"/>
      <c r="AC110" s="85" t="n"/>
      <c r="AD110" s="85" t="n"/>
      <c r="AE110" s="85" t="n"/>
      <c r="AF110" s="85" t="n"/>
      <c r="AG110" s="85" t="n"/>
      <c r="AH110" s="85" t="n"/>
      <c r="AI110" s="85" t="n"/>
      <c r="AJ110" s="85" t="n"/>
      <c r="AK110" s="85" t="n"/>
      <c r="AL110" s="85" t="n"/>
      <c r="AM110" s="85" t="n"/>
      <c r="AN110" s="85" t="n"/>
      <c r="AO110" s="85" t="n"/>
      <c r="AP110" s="85" t="n"/>
      <c r="AQ110" s="85" t="n"/>
      <c r="AR110" s="85" t="n"/>
      <c r="AS110" s="85" t="n"/>
      <c r="AT110" s="86" t="n"/>
      <c r="AU110" s="57" t="n"/>
      <c r="AV110" s="87" t="n"/>
      <c r="AW110" s="88">
        <f>IF(J110&lt;&gt;" ",VLOOKUP(J110,lista_labores,4,FALSE),"  ")</f>
        <v/>
      </c>
      <c r="AX110" s="88">
        <f>+AW110*L110</f>
        <v/>
      </c>
      <c r="AY110" s="103" t="n"/>
      <c r="BF110" s="134" t="n"/>
    </row>
    <row r="111" ht="13" customHeight="1">
      <c r="B111" s="89" t="n"/>
      <c r="C111" s="90">
        <f>IFERROR(VLOOKUP(D111,lista_trabajadores!B:E,4,FALSE),"")</f>
        <v/>
      </c>
      <c r="D111" s="200" t="n"/>
      <c r="E111" s="198" t="n"/>
      <c r="F111" s="201" t="n"/>
      <c r="G111" s="91" t="n"/>
      <c r="H111" s="96" t="n"/>
      <c r="I111" s="92" t="n"/>
      <c r="J111" s="90">
        <f>IFERROR(VLOOKUP($K111,Tabla1[[NOMBRE]:[CODIGO2]],4,0),"")</f>
        <v/>
      </c>
      <c r="K111" s="26" t="n"/>
      <c r="L111" s="93">
        <f>SUMIF($O$11:$AB$11,"Area Lote",$O111:$AB111)</f>
        <v/>
      </c>
      <c r="M111" s="94" t="n"/>
      <c r="N111" s="94" t="n"/>
      <c r="O111" s="100" t="n"/>
      <c r="P111" s="101" t="n"/>
      <c r="Q111" s="102" t="n"/>
      <c r="R111" s="102" t="n"/>
      <c r="S111" s="100" t="n"/>
      <c r="T111" s="101" t="n"/>
      <c r="U111" s="102" t="n"/>
      <c r="V111" s="102" t="n"/>
      <c r="W111" s="100" t="n"/>
      <c r="X111" s="101" t="n"/>
      <c r="Y111" s="102" t="n"/>
      <c r="Z111" s="102" t="n"/>
      <c r="AA111" s="100" t="n"/>
      <c r="AB111" s="101" t="n"/>
      <c r="AC111" s="85" t="n"/>
      <c r="AD111" s="85" t="n"/>
      <c r="AE111" s="85" t="n"/>
      <c r="AF111" s="85" t="n"/>
      <c r="AG111" s="85" t="n"/>
      <c r="AH111" s="85" t="n"/>
      <c r="AI111" s="85" t="n"/>
      <c r="AJ111" s="85" t="n"/>
      <c r="AK111" s="85" t="n"/>
      <c r="AL111" s="85" t="n"/>
      <c r="AM111" s="85" t="n"/>
      <c r="AN111" s="85" t="n"/>
      <c r="AO111" s="85" t="n"/>
      <c r="AP111" s="85" t="n"/>
      <c r="AQ111" s="85" t="n"/>
      <c r="AR111" s="85" t="n"/>
      <c r="AS111" s="85" t="n"/>
      <c r="AT111" s="86" t="n"/>
      <c r="AU111" s="57" t="n"/>
      <c r="AV111" s="87" t="n"/>
      <c r="AW111" s="88">
        <f>IF(J111&lt;&gt;" ",VLOOKUP(J111,lista_labores,4,FALSE),"  ")</f>
        <v/>
      </c>
      <c r="AX111" s="88">
        <f>+AW111*L111</f>
        <v/>
      </c>
      <c r="AY111" s="103" t="n"/>
      <c r="BF111" s="134" t="n"/>
    </row>
    <row r="112" ht="13" customHeight="1">
      <c r="B112" s="89" t="n"/>
      <c r="C112" s="90">
        <f>IFERROR(VLOOKUP(D112,lista_trabajadores!B:E,4,FALSE),"")</f>
        <v/>
      </c>
      <c r="D112" s="200" t="n"/>
      <c r="E112" s="198" t="n"/>
      <c r="F112" s="201" t="n"/>
      <c r="G112" s="91" t="n"/>
      <c r="H112" s="96" t="n"/>
      <c r="I112" s="92" t="n"/>
      <c r="J112" s="90">
        <f>IFERROR(VLOOKUP($K112,Tabla1[[NOMBRE]:[CODIGO2]],4,0),"")</f>
        <v/>
      </c>
      <c r="K112" s="26" t="n"/>
      <c r="L112" s="93">
        <f>SUMIF($O$11:$AB$11,"Area Lote",$O112:$AB112)</f>
        <v/>
      </c>
      <c r="M112" s="94" t="n"/>
      <c r="N112" s="94" t="n"/>
      <c r="O112" s="100" t="n"/>
      <c r="P112" s="101" t="n"/>
      <c r="Q112" s="102" t="n"/>
      <c r="R112" s="102" t="n"/>
      <c r="S112" s="100" t="n"/>
      <c r="T112" s="101" t="n"/>
      <c r="U112" s="102" t="n"/>
      <c r="V112" s="102" t="n"/>
      <c r="W112" s="100" t="n"/>
      <c r="X112" s="101" t="n"/>
      <c r="Y112" s="102" t="n"/>
      <c r="Z112" s="102" t="n"/>
      <c r="AA112" s="100" t="n"/>
      <c r="AB112" s="101" t="n"/>
      <c r="AC112" s="85" t="n"/>
      <c r="AD112" s="85" t="n"/>
      <c r="AE112" s="85" t="n"/>
      <c r="AF112" s="85" t="n"/>
      <c r="AG112" s="85" t="n"/>
      <c r="AH112" s="85" t="n"/>
      <c r="AI112" s="85" t="n"/>
      <c r="AJ112" s="85" t="n"/>
      <c r="AK112" s="85" t="n"/>
      <c r="AL112" s="85" t="n"/>
      <c r="AM112" s="85" t="n"/>
      <c r="AN112" s="85" t="n"/>
      <c r="AO112" s="85" t="n"/>
      <c r="AP112" s="85" t="n"/>
      <c r="AQ112" s="85" t="n"/>
      <c r="AR112" s="85" t="n"/>
      <c r="AS112" s="85" t="n"/>
      <c r="AT112" s="86" t="n"/>
      <c r="AU112" s="57" t="n"/>
      <c r="AV112" s="87" t="n"/>
      <c r="AW112" s="88">
        <f>IF(J112&lt;&gt;" ",VLOOKUP(J112,lista_labores,4,FALSE),"  ")</f>
        <v/>
      </c>
      <c r="AX112" s="88">
        <f>+AW112*L112</f>
        <v/>
      </c>
      <c r="AY112" s="103" t="n"/>
      <c r="BF112" s="134" t="n"/>
    </row>
    <row r="113" ht="13" customHeight="1">
      <c r="B113" s="89" t="n"/>
      <c r="C113" s="90">
        <f>IFERROR(VLOOKUP(D113,lista_trabajadores!B:E,4,FALSE),"")</f>
        <v/>
      </c>
      <c r="D113" s="200" t="n"/>
      <c r="E113" s="198" t="n"/>
      <c r="F113" s="201" t="n"/>
      <c r="G113" s="91" t="n"/>
      <c r="H113" s="96" t="n"/>
      <c r="I113" s="92" t="n"/>
      <c r="J113" s="90">
        <f>IFERROR(VLOOKUP($K113,Tabla1[[NOMBRE]:[CODIGO2]],4,0),"")</f>
        <v/>
      </c>
      <c r="K113" s="26" t="n"/>
      <c r="L113" s="93">
        <f>SUMIF($O$11:$AB$11,"Area Lote",$O113:$AB113)</f>
        <v/>
      </c>
      <c r="M113" s="94" t="n"/>
      <c r="N113" s="94" t="n"/>
      <c r="O113" s="100" t="n"/>
      <c r="P113" s="101" t="n"/>
      <c r="Q113" s="102" t="n"/>
      <c r="R113" s="102" t="n"/>
      <c r="S113" s="100" t="n"/>
      <c r="T113" s="101" t="n"/>
      <c r="U113" s="102" t="n"/>
      <c r="V113" s="102" t="n"/>
      <c r="W113" s="100" t="n"/>
      <c r="X113" s="101" t="n"/>
      <c r="Y113" s="102" t="n"/>
      <c r="Z113" s="102" t="n"/>
      <c r="AA113" s="100" t="n"/>
      <c r="AB113" s="101" t="n"/>
      <c r="AC113" s="85" t="n"/>
      <c r="AD113" s="85" t="n"/>
      <c r="AE113" s="85" t="n"/>
      <c r="AF113" s="85" t="n"/>
      <c r="AG113" s="85" t="n"/>
      <c r="AH113" s="85" t="n"/>
      <c r="AI113" s="85" t="n"/>
      <c r="AJ113" s="85" t="n"/>
      <c r="AK113" s="85" t="n"/>
      <c r="AL113" s="85" t="n"/>
      <c r="AM113" s="85" t="n"/>
      <c r="AN113" s="85" t="n"/>
      <c r="AO113" s="85" t="n"/>
      <c r="AP113" s="85" t="n"/>
      <c r="AQ113" s="85" t="n"/>
      <c r="AR113" s="85" t="n"/>
      <c r="AS113" s="85" t="n"/>
      <c r="AT113" s="86" t="n"/>
      <c r="AU113" s="57" t="n"/>
      <c r="AV113" s="87" t="n"/>
      <c r="AW113" s="88">
        <f>IF(J113&lt;&gt;" ",VLOOKUP(J113,lista_labores,4,FALSE),"  ")</f>
        <v/>
      </c>
      <c r="AX113" s="88">
        <f>+AW113*L113</f>
        <v/>
      </c>
      <c r="AY113" s="103" t="n"/>
      <c r="BF113" s="134" t="n"/>
    </row>
    <row r="114" ht="13" customHeight="1">
      <c r="B114" s="89" t="n"/>
      <c r="C114" s="90">
        <f>IFERROR(VLOOKUP(D114,lista_trabajadores!B:E,4,FALSE),"")</f>
        <v/>
      </c>
      <c r="D114" s="200" t="n"/>
      <c r="E114" s="198" t="n"/>
      <c r="F114" s="201" t="n"/>
      <c r="G114" s="91" t="n"/>
      <c r="H114" s="96" t="n"/>
      <c r="I114" s="92" t="n"/>
      <c r="J114" s="90">
        <f>IFERROR(VLOOKUP($K114,Tabla1[[NOMBRE]:[CODIGO2]],4,0),"")</f>
        <v/>
      </c>
      <c r="K114" s="26" t="n"/>
      <c r="L114" s="93">
        <f>SUMIF($O$11:$AB$11,"Area Lote",$O114:$AB114)</f>
        <v/>
      </c>
      <c r="M114" s="94" t="n"/>
      <c r="N114" s="94" t="n"/>
      <c r="O114" s="100" t="n"/>
      <c r="P114" s="101" t="n"/>
      <c r="Q114" s="102" t="n"/>
      <c r="R114" s="102" t="n"/>
      <c r="S114" s="100" t="n"/>
      <c r="T114" s="101" t="n"/>
      <c r="U114" s="102" t="n"/>
      <c r="V114" s="102" t="n"/>
      <c r="W114" s="100" t="n"/>
      <c r="X114" s="101" t="n"/>
      <c r="Y114" s="102" t="n"/>
      <c r="Z114" s="102" t="n"/>
      <c r="AA114" s="100" t="n"/>
      <c r="AB114" s="101" t="n"/>
      <c r="AC114" s="85" t="n"/>
      <c r="AD114" s="85" t="n"/>
      <c r="AE114" s="85" t="n"/>
      <c r="AF114" s="85" t="n"/>
      <c r="AG114" s="85" t="n"/>
      <c r="AH114" s="85" t="n"/>
      <c r="AI114" s="85" t="n"/>
      <c r="AJ114" s="85" t="n"/>
      <c r="AK114" s="85" t="n"/>
      <c r="AL114" s="85" t="n"/>
      <c r="AM114" s="85" t="n"/>
      <c r="AN114" s="85" t="n"/>
      <c r="AO114" s="85" t="n"/>
      <c r="AP114" s="85" t="n"/>
      <c r="AQ114" s="85" t="n"/>
      <c r="AR114" s="85" t="n"/>
      <c r="AS114" s="85" t="n"/>
      <c r="AT114" s="86" t="n"/>
      <c r="AU114" s="57" t="n"/>
      <c r="AV114" s="87" t="n"/>
      <c r="AW114" s="88">
        <f>IF(J114&lt;&gt;" ",VLOOKUP(J114,lista_labores,4,FALSE),"  ")</f>
        <v/>
      </c>
      <c r="AX114" s="88">
        <f>+AW114*L114</f>
        <v/>
      </c>
      <c r="AY114" s="103" t="n"/>
      <c r="BF114" s="134" t="n"/>
    </row>
    <row r="115" ht="13" customHeight="1">
      <c r="B115" s="89" t="n"/>
      <c r="C115" s="90">
        <f>IFERROR(VLOOKUP(D115,lista_trabajadores!B:E,4,FALSE),"")</f>
        <v/>
      </c>
      <c r="D115" s="200" t="n"/>
      <c r="E115" s="198" t="n"/>
      <c r="F115" s="201" t="n"/>
      <c r="G115" s="91" t="n"/>
      <c r="H115" s="96" t="n"/>
      <c r="I115" s="92" t="n"/>
      <c r="J115" s="90">
        <f>IFERROR(VLOOKUP($K115,Tabla1[[NOMBRE]:[CODIGO2]],4,0),"")</f>
        <v/>
      </c>
      <c r="K115" s="26" t="n"/>
      <c r="L115" s="93">
        <f>SUMIF($O$11:$AB$11,"Area Lote",$O115:$AB115)</f>
        <v/>
      </c>
      <c r="M115" s="94" t="n"/>
      <c r="N115" s="94" t="n"/>
      <c r="O115" s="100" t="n"/>
      <c r="P115" s="101" t="n"/>
      <c r="Q115" s="102" t="n"/>
      <c r="R115" s="102" t="n"/>
      <c r="S115" s="100" t="n"/>
      <c r="T115" s="101" t="n"/>
      <c r="U115" s="102" t="n"/>
      <c r="V115" s="102" t="n"/>
      <c r="W115" s="100" t="n"/>
      <c r="X115" s="101" t="n"/>
      <c r="Y115" s="102" t="n"/>
      <c r="Z115" s="102" t="n"/>
      <c r="AA115" s="100" t="n"/>
      <c r="AB115" s="101" t="n"/>
      <c r="AC115" s="85" t="n"/>
      <c r="AD115" s="85" t="n"/>
      <c r="AE115" s="85" t="n"/>
      <c r="AF115" s="85" t="n"/>
      <c r="AG115" s="85" t="n"/>
      <c r="AH115" s="85" t="n"/>
      <c r="AI115" s="85" t="n"/>
      <c r="AJ115" s="85" t="n"/>
      <c r="AK115" s="85" t="n"/>
      <c r="AL115" s="85" t="n"/>
      <c r="AM115" s="85" t="n"/>
      <c r="AN115" s="85" t="n"/>
      <c r="AO115" s="85" t="n"/>
      <c r="AP115" s="85" t="n"/>
      <c r="AQ115" s="85" t="n"/>
      <c r="AR115" s="85" t="n"/>
      <c r="AS115" s="85" t="n"/>
      <c r="AT115" s="86" t="n"/>
      <c r="AU115" s="57" t="n"/>
      <c r="AV115" s="87" t="n"/>
      <c r="AW115" s="88">
        <f>IF(J115&lt;&gt;" ",VLOOKUP(J115,lista_labores,4,FALSE),"  ")</f>
        <v/>
      </c>
      <c r="AX115" s="88">
        <f>+AW115*L115</f>
        <v/>
      </c>
      <c r="AY115" s="103" t="n"/>
      <c r="BF115" s="134" t="n"/>
    </row>
    <row r="116" ht="13" customHeight="1">
      <c r="B116" s="89" t="n"/>
      <c r="C116" s="90">
        <f>IFERROR(VLOOKUP(D116,lista_trabajadores!B:E,4,FALSE),"")</f>
        <v/>
      </c>
      <c r="D116" s="200" t="n"/>
      <c r="E116" s="198" t="n"/>
      <c r="F116" s="201" t="n"/>
      <c r="G116" s="91" t="n"/>
      <c r="H116" s="96" t="n"/>
      <c r="I116" s="92" t="n"/>
      <c r="J116" s="90">
        <f>IFERROR(VLOOKUP($K116,Tabla1[[NOMBRE]:[CODIGO2]],4,0),"")</f>
        <v/>
      </c>
      <c r="K116" s="26" t="n"/>
      <c r="L116" s="93">
        <f>SUMIF($O$11:$AB$11,"Area Lote",$O116:$AB116)</f>
        <v/>
      </c>
      <c r="M116" s="94" t="n"/>
      <c r="N116" s="94" t="n"/>
      <c r="O116" s="100" t="n"/>
      <c r="P116" s="101" t="n"/>
      <c r="Q116" s="102" t="n"/>
      <c r="R116" s="102" t="n"/>
      <c r="S116" s="100" t="n"/>
      <c r="T116" s="101" t="n"/>
      <c r="U116" s="102" t="n"/>
      <c r="V116" s="102" t="n"/>
      <c r="W116" s="100" t="n"/>
      <c r="X116" s="101" t="n"/>
      <c r="Y116" s="102" t="n"/>
      <c r="Z116" s="102" t="n"/>
      <c r="AA116" s="100" t="n"/>
      <c r="AB116" s="101" t="n"/>
      <c r="AC116" s="85" t="n"/>
      <c r="AD116" s="85" t="n"/>
      <c r="AE116" s="85" t="n"/>
      <c r="AF116" s="85" t="n"/>
      <c r="AG116" s="85" t="n"/>
      <c r="AH116" s="85" t="n"/>
      <c r="AI116" s="85" t="n"/>
      <c r="AJ116" s="85" t="n"/>
      <c r="AK116" s="85" t="n"/>
      <c r="AL116" s="85" t="n"/>
      <c r="AM116" s="85" t="n"/>
      <c r="AN116" s="85" t="n"/>
      <c r="AO116" s="85" t="n"/>
      <c r="AP116" s="85" t="n"/>
      <c r="AQ116" s="85" t="n"/>
      <c r="AR116" s="85" t="n"/>
      <c r="AS116" s="85" t="n"/>
      <c r="AT116" s="86" t="n"/>
      <c r="AU116" s="57" t="n"/>
      <c r="AV116" s="87" t="n"/>
      <c r="AW116" s="88">
        <f>IF(J116&lt;&gt;" ",VLOOKUP(J116,lista_labores,4,FALSE),"  ")</f>
        <v/>
      </c>
      <c r="AX116" s="88">
        <f>+AW116*L116</f>
        <v/>
      </c>
      <c r="AY116" s="103" t="n"/>
      <c r="BF116" s="134" t="n"/>
    </row>
    <row r="117" ht="13" customHeight="1">
      <c r="B117" s="89" t="n"/>
      <c r="C117" s="90">
        <f>IFERROR(VLOOKUP(D117,lista_trabajadores!B:E,4,FALSE),"")</f>
        <v/>
      </c>
      <c r="D117" s="200" t="n"/>
      <c r="E117" s="198" t="n"/>
      <c r="F117" s="201" t="n"/>
      <c r="G117" s="91" t="n"/>
      <c r="H117" s="96" t="n"/>
      <c r="I117" s="92" t="n"/>
      <c r="J117" s="90">
        <f>IFERROR(VLOOKUP($K117,Tabla1[[NOMBRE]:[CODIGO2]],4,0),"")</f>
        <v/>
      </c>
      <c r="K117" s="26" t="n"/>
      <c r="L117" s="93">
        <f>SUMIF($O$11:$AB$11,"Area Lote",$O117:$AB117)</f>
        <v/>
      </c>
      <c r="M117" s="94" t="n"/>
      <c r="N117" s="94" t="n"/>
      <c r="O117" s="100" t="n"/>
      <c r="P117" s="101" t="n"/>
      <c r="Q117" s="102" t="n"/>
      <c r="R117" s="102" t="n"/>
      <c r="S117" s="100" t="n"/>
      <c r="T117" s="101" t="n"/>
      <c r="U117" s="102" t="n"/>
      <c r="V117" s="102" t="n"/>
      <c r="W117" s="100" t="n"/>
      <c r="X117" s="101" t="n"/>
      <c r="Y117" s="102" t="n"/>
      <c r="Z117" s="102" t="n"/>
      <c r="AA117" s="100" t="n"/>
      <c r="AB117" s="101" t="n"/>
      <c r="AC117" s="85" t="n"/>
      <c r="AD117" s="85" t="n"/>
      <c r="AE117" s="85" t="n"/>
      <c r="AF117" s="85" t="n"/>
      <c r="AG117" s="85" t="n"/>
      <c r="AH117" s="85" t="n"/>
      <c r="AI117" s="85" t="n"/>
      <c r="AJ117" s="85" t="n"/>
      <c r="AK117" s="85" t="n"/>
      <c r="AL117" s="85" t="n"/>
      <c r="AM117" s="85" t="n"/>
      <c r="AN117" s="85" t="n"/>
      <c r="AO117" s="85" t="n"/>
      <c r="AP117" s="85" t="n"/>
      <c r="AQ117" s="85" t="n"/>
      <c r="AR117" s="85" t="n"/>
      <c r="AS117" s="85" t="n"/>
      <c r="AT117" s="86" t="n"/>
      <c r="AU117" s="57" t="n"/>
      <c r="AV117" s="87" t="n"/>
      <c r="AW117" s="88">
        <f>IF(J117&lt;&gt;" ",VLOOKUP(J117,lista_labores,4,FALSE),"  ")</f>
        <v/>
      </c>
      <c r="AX117" s="88">
        <f>+AW117*L117</f>
        <v/>
      </c>
      <c r="AY117" s="103" t="n"/>
      <c r="BF117" s="134" t="n"/>
    </row>
    <row r="118" ht="13" customHeight="1">
      <c r="B118" s="89" t="n"/>
      <c r="C118" s="90">
        <f>IFERROR(VLOOKUP(D118,lista_trabajadores!B:E,4,FALSE),"")</f>
        <v/>
      </c>
      <c r="D118" s="200" t="n"/>
      <c r="E118" s="198" t="n"/>
      <c r="F118" s="201" t="n"/>
      <c r="G118" s="91" t="n"/>
      <c r="H118" s="96" t="n"/>
      <c r="I118" s="92" t="n"/>
      <c r="J118" s="90">
        <f>IFERROR(VLOOKUP($K118,Tabla1[[NOMBRE]:[CODIGO2]],4,0),"")</f>
        <v/>
      </c>
      <c r="K118" s="26" t="n"/>
      <c r="L118" s="93">
        <f>SUMIF($O$11:$AB$11,"Area Lote",$O118:$AB118)</f>
        <v/>
      </c>
      <c r="M118" s="94" t="n"/>
      <c r="N118" s="94" t="n"/>
      <c r="O118" s="100" t="n"/>
      <c r="P118" s="101" t="n"/>
      <c r="Q118" s="102" t="n"/>
      <c r="R118" s="102" t="n"/>
      <c r="S118" s="100" t="n"/>
      <c r="T118" s="101" t="n"/>
      <c r="U118" s="102" t="n"/>
      <c r="V118" s="102" t="n"/>
      <c r="W118" s="100" t="n"/>
      <c r="X118" s="101" t="n"/>
      <c r="Y118" s="102" t="n"/>
      <c r="Z118" s="102" t="n"/>
      <c r="AA118" s="100" t="n"/>
      <c r="AB118" s="101" t="n"/>
      <c r="AC118" s="85" t="n"/>
      <c r="AD118" s="85" t="n"/>
      <c r="AE118" s="85" t="n"/>
      <c r="AF118" s="85" t="n"/>
      <c r="AG118" s="85" t="n"/>
      <c r="AH118" s="85" t="n"/>
      <c r="AI118" s="85" t="n"/>
      <c r="AJ118" s="85" t="n"/>
      <c r="AK118" s="85" t="n"/>
      <c r="AL118" s="85" t="n"/>
      <c r="AM118" s="85" t="n"/>
      <c r="AN118" s="85" t="n"/>
      <c r="AO118" s="85" t="n"/>
      <c r="AP118" s="85" t="n"/>
      <c r="AQ118" s="85" t="n"/>
      <c r="AR118" s="85" t="n"/>
      <c r="AS118" s="85" t="n"/>
      <c r="AT118" s="86" t="n"/>
      <c r="AU118" s="57" t="n"/>
      <c r="AV118" s="87" t="n"/>
      <c r="AW118" s="88">
        <f>IF(J118&lt;&gt;" ",VLOOKUP(J118,lista_labores,4,FALSE),"  ")</f>
        <v/>
      </c>
      <c r="AX118" s="88">
        <f>+AW118*L118</f>
        <v/>
      </c>
      <c r="AY118" s="103" t="n"/>
      <c r="BF118" s="134" t="n"/>
    </row>
    <row r="119" ht="13" customHeight="1">
      <c r="B119" s="89" t="n"/>
      <c r="C119" s="90">
        <f>IFERROR(VLOOKUP(D119,lista_trabajadores!B:E,4,FALSE),"")</f>
        <v/>
      </c>
      <c r="D119" s="200" t="n"/>
      <c r="E119" s="198" t="n"/>
      <c r="F119" s="201" t="n"/>
      <c r="G119" s="91" t="n"/>
      <c r="H119" s="96" t="n"/>
      <c r="I119" s="92" t="n"/>
      <c r="J119" s="90">
        <f>IFERROR(VLOOKUP($K119,Tabla1[[NOMBRE]:[CODIGO2]],4,0),"")</f>
        <v/>
      </c>
      <c r="K119" s="26" t="n"/>
      <c r="L119" s="93">
        <f>SUMIF($O$11:$AB$11,"Area Lote",$O119:$AB119)</f>
        <v/>
      </c>
      <c r="M119" s="94" t="n"/>
      <c r="N119" s="94" t="n"/>
      <c r="O119" s="100" t="n"/>
      <c r="P119" s="101" t="n"/>
      <c r="Q119" s="102" t="n"/>
      <c r="R119" s="102" t="n"/>
      <c r="S119" s="100" t="n"/>
      <c r="T119" s="101" t="n"/>
      <c r="U119" s="102" t="n"/>
      <c r="V119" s="102" t="n"/>
      <c r="W119" s="100" t="n"/>
      <c r="X119" s="101" t="n"/>
      <c r="Y119" s="102" t="n"/>
      <c r="Z119" s="102" t="n"/>
      <c r="AA119" s="100" t="n"/>
      <c r="AB119" s="101" t="n"/>
      <c r="AC119" s="85" t="n"/>
      <c r="AD119" s="85" t="n"/>
      <c r="AE119" s="85" t="n"/>
      <c r="AF119" s="85" t="n"/>
      <c r="AG119" s="85" t="n"/>
      <c r="AH119" s="85" t="n"/>
      <c r="AI119" s="85" t="n"/>
      <c r="AJ119" s="85" t="n"/>
      <c r="AK119" s="85" t="n"/>
      <c r="AL119" s="85" t="n"/>
      <c r="AM119" s="85" t="n"/>
      <c r="AN119" s="85" t="n"/>
      <c r="AO119" s="85" t="n"/>
      <c r="AP119" s="85" t="n"/>
      <c r="AQ119" s="85" t="n"/>
      <c r="AR119" s="85" t="n"/>
      <c r="AS119" s="85" t="n"/>
      <c r="AT119" s="86" t="n"/>
      <c r="AU119" s="57" t="n"/>
      <c r="AV119" s="87" t="n"/>
      <c r="AW119" s="88">
        <f>IF(J119&lt;&gt;" ",VLOOKUP(J119,lista_labores,4,FALSE),"  ")</f>
        <v/>
      </c>
      <c r="AX119" s="88">
        <f>+AW119*L119</f>
        <v/>
      </c>
      <c r="AY119" s="103" t="n"/>
      <c r="BF119" s="134" t="n"/>
    </row>
    <row r="120" ht="13" customHeight="1">
      <c r="B120" s="117" t="n"/>
      <c r="C120" s="118">
        <f>IFERROR(VLOOKUP(D120,lista_trabajadores!B:E,4,FALSE),"")</f>
        <v/>
      </c>
      <c r="D120" s="202" t="n"/>
      <c r="E120" s="203" t="n"/>
      <c r="F120" s="204" t="n"/>
      <c r="G120" s="119" t="n"/>
      <c r="H120" s="120" t="n"/>
      <c r="I120" s="121" t="n"/>
      <c r="J120" s="118">
        <f>IFERROR(VLOOKUP($K120,Tabla1[[NOMBRE]:[CODIGO2]],4,0),"")</f>
        <v/>
      </c>
      <c r="K120" s="122" t="n"/>
      <c r="L120" s="123">
        <f>SUMIF($O$11:$AB$11,"Area Lote",$O120:$AB120)</f>
        <v/>
      </c>
      <c r="M120" s="124" t="n"/>
      <c r="N120" s="124" t="n"/>
      <c r="O120" s="125" t="n"/>
      <c r="P120" s="126" t="n"/>
      <c r="Q120" s="127" t="n"/>
      <c r="R120" s="127" t="n"/>
      <c r="S120" s="125" t="n"/>
      <c r="T120" s="126" t="n"/>
      <c r="U120" s="127" t="n"/>
      <c r="V120" s="127" t="n"/>
      <c r="W120" s="125" t="n"/>
      <c r="X120" s="126" t="n"/>
      <c r="Y120" s="127" t="n"/>
      <c r="Z120" s="127" t="n"/>
      <c r="AA120" s="125" t="n"/>
      <c r="AB120" s="126" t="n"/>
      <c r="AC120" s="85" t="n"/>
      <c r="AD120" s="85" t="n"/>
      <c r="AE120" s="85" t="n"/>
      <c r="AF120" s="85" t="n"/>
      <c r="AG120" s="85" t="n"/>
      <c r="AH120" s="85" t="n"/>
      <c r="AI120" s="85" t="n"/>
      <c r="AJ120" s="85" t="n"/>
      <c r="AK120" s="85" t="n"/>
      <c r="AL120" s="85" t="n"/>
      <c r="AM120" s="85" t="n"/>
      <c r="AN120" s="85" t="n"/>
      <c r="AO120" s="85" t="n"/>
      <c r="AP120" s="85" t="n"/>
      <c r="AQ120" s="85" t="n"/>
      <c r="AR120" s="85" t="n"/>
      <c r="AS120" s="85" t="n"/>
      <c r="AT120" s="86" t="n"/>
      <c r="AU120" s="57" t="n"/>
      <c r="AV120" s="87" t="n"/>
      <c r="AW120" s="88">
        <f>IF(J120&lt;&gt;" ",VLOOKUP(J120,lista_labores,4,FALSE),"  ")</f>
        <v/>
      </c>
      <c r="AX120" s="88">
        <f>+AW120*L120</f>
        <v/>
      </c>
      <c r="AY120" s="103" t="n"/>
      <c r="BF120" s="135" t="n"/>
    </row>
    <row r="121">
      <c r="B121" s="128" t="n"/>
      <c r="C121" s="129" t="n"/>
      <c r="D121" s="129" t="n"/>
      <c r="E121" s="129" t="n"/>
      <c r="F121" s="129" t="n"/>
      <c r="G121" s="129" t="n"/>
      <c r="H121" s="129" t="n"/>
      <c r="I121" s="129" t="n"/>
      <c r="J121" s="130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9" t="n"/>
      <c r="U121" s="129" t="n"/>
      <c r="V121" s="129" t="n"/>
      <c r="W121" s="129" t="n"/>
      <c r="X121" s="129" t="n"/>
      <c r="Y121" s="129" t="n"/>
      <c r="Z121" s="129" t="n"/>
      <c r="AA121" s="129" t="n"/>
      <c r="AB121" s="129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mxZdSzbCdkjRgCfbVT+iUg==" formatRows="1" sort="1" spinCount="100000" hashValue="/El1jaiZCV45NcxW6M5hESepREqzSrCbOr1iShauzXX/j2eFb7fBRV/sNzwlGSE5I8zuefIAuKjVifGw4ui0yQ=="/>
  <mergeCells count="128">
    <mergeCell ref="D11:F11"/>
    <mergeCell ref="D76:F76"/>
    <mergeCell ref="D116:F116"/>
    <mergeCell ref="D66:F66"/>
    <mergeCell ref="D75:F75"/>
    <mergeCell ref="D53:F53"/>
    <mergeCell ref="D47:F47"/>
    <mergeCell ref="D28:F28"/>
    <mergeCell ref="D37:F37"/>
    <mergeCell ref="D102:F102"/>
    <mergeCell ref="D92:F92"/>
    <mergeCell ref="D30:F30"/>
    <mergeCell ref="D39:F39"/>
    <mergeCell ref="D14:F14"/>
    <mergeCell ref="D29:F29"/>
    <mergeCell ref="S10:T10"/>
    <mergeCell ref="D23:F23"/>
    <mergeCell ref="D94:F94"/>
    <mergeCell ref="D119:F119"/>
    <mergeCell ref="D80:F80"/>
    <mergeCell ref="D96:F96"/>
    <mergeCell ref="D105:F105"/>
    <mergeCell ref="M2:O2"/>
    <mergeCell ref="D57:F57"/>
    <mergeCell ref="D27:F27"/>
    <mergeCell ref="D120:F120"/>
    <mergeCell ref="D41:F41"/>
    <mergeCell ref="D107:F107"/>
    <mergeCell ref="D17:F17"/>
    <mergeCell ref="D91:F91"/>
    <mergeCell ref="D43:F43"/>
    <mergeCell ref="D106:F106"/>
    <mergeCell ref="D93:F93"/>
    <mergeCell ref="D74:F74"/>
    <mergeCell ref="AJ10:AK10"/>
    <mergeCell ref="D68:F68"/>
    <mergeCell ref="D25:F25"/>
    <mergeCell ref="D83:F83"/>
    <mergeCell ref="D117:F117"/>
    <mergeCell ref="D55:F55"/>
    <mergeCell ref="D67:F67"/>
    <mergeCell ref="F2:H3"/>
    <mergeCell ref="D5:F5"/>
    <mergeCell ref="D110:F110"/>
    <mergeCell ref="M4:O4"/>
    <mergeCell ref="D85:F85"/>
    <mergeCell ref="D54:F54"/>
    <mergeCell ref="AM10:AN10"/>
    <mergeCell ref="D60:F60"/>
    <mergeCell ref="D100:F100"/>
    <mergeCell ref="D69:F69"/>
    <mergeCell ref="D109:F109"/>
    <mergeCell ref="B6:C6"/>
    <mergeCell ref="D31:F31"/>
    <mergeCell ref="D46:F46"/>
    <mergeCell ref="D40:F40"/>
    <mergeCell ref="D111:F111"/>
    <mergeCell ref="D108:F108"/>
    <mergeCell ref="D21:F21"/>
    <mergeCell ref="D86:F86"/>
    <mergeCell ref="D95:F95"/>
    <mergeCell ref="D104:F104"/>
    <mergeCell ref="B7:C7"/>
    <mergeCell ref="D32:F32"/>
    <mergeCell ref="AA10:AB10"/>
    <mergeCell ref="D97:F97"/>
    <mergeCell ref="D78:F78"/>
    <mergeCell ref="D16:F16"/>
    <mergeCell ref="D87:F87"/>
    <mergeCell ref="D71:F71"/>
    <mergeCell ref="AD10:AE10"/>
    <mergeCell ref="D18:F18"/>
    <mergeCell ref="D58:F58"/>
    <mergeCell ref="AP10:AQ10"/>
    <mergeCell ref="D33:F33"/>
    <mergeCell ref="D73:F73"/>
    <mergeCell ref="D51:F51"/>
    <mergeCell ref="D42:F42"/>
    <mergeCell ref="D82:F82"/>
    <mergeCell ref="D113:F113"/>
    <mergeCell ref="D35:F35"/>
    <mergeCell ref="D50:F50"/>
    <mergeCell ref="D44:F44"/>
    <mergeCell ref="D59:F59"/>
    <mergeCell ref="D115:F115"/>
    <mergeCell ref="B9:C9"/>
    <mergeCell ref="D20:F20"/>
    <mergeCell ref="D34:F34"/>
    <mergeCell ref="D99:F99"/>
    <mergeCell ref="D84:F84"/>
    <mergeCell ref="D22:F22"/>
    <mergeCell ref="D36:F36"/>
    <mergeCell ref="D45:F45"/>
    <mergeCell ref="D101:F101"/>
    <mergeCell ref="B4:C4"/>
    <mergeCell ref="D77:F77"/>
    <mergeCell ref="D13:F13"/>
    <mergeCell ref="W10:X10"/>
    <mergeCell ref="O10:P10"/>
    <mergeCell ref="D61:F61"/>
    <mergeCell ref="AG10:AH10"/>
    <mergeCell ref="D70:F70"/>
    <mergeCell ref="D48:F48"/>
    <mergeCell ref="D103:F103"/>
    <mergeCell ref="D72:F72"/>
    <mergeCell ref="D112:F112"/>
    <mergeCell ref="D62:F62"/>
    <mergeCell ref="D118:F118"/>
    <mergeCell ref="D56:F56"/>
    <mergeCell ref="B2:D2"/>
    <mergeCell ref="D114:F114"/>
    <mergeCell ref="B8:C8"/>
    <mergeCell ref="D15:F15"/>
    <mergeCell ref="D24:F24"/>
    <mergeCell ref="D64:F64"/>
    <mergeCell ref="D38:F38"/>
    <mergeCell ref="D89:F89"/>
    <mergeCell ref="D98:F98"/>
    <mergeCell ref="D79:F79"/>
    <mergeCell ref="D88:F88"/>
    <mergeCell ref="D26:F26"/>
    <mergeCell ref="D63:F63"/>
    <mergeCell ref="D81:F81"/>
    <mergeCell ref="D19:F19"/>
    <mergeCell ref="D90:F90"/>
    <mergeCell ref="D65:F65"/>
    <mergeCell ref="D52:F52"/>
    <mergeCell ref="D49:F49"/>
  </mergeCells>
  <conditionalFormatting sqref="L13:L120">
    <cfRule type="cellIs" priority="5" operator="equal" dxfId="14">
      <formula>0</formula>
    </cfRule>
  </conditionalFormatting>
  <conditionalFormatting sqref="BA12:BA16">
    <cfRule type="cellIs" priority="4" operator="equal" dxfId="13">
      <formula>0</formula>
    </cfRule>
  </conditionalFormatting>
  <conditionalFormatting sqref="BB12:BB16">
    <cfRule type="cellIs" priority="3" operator="equal" dxfId="12">
      <formula>0</formula>
    </cfRule>
  </conditionalFormatting>
  <conditionalFormatting sqref="K13:K120">
    <cfRule type="containsText" priority="2" operator="containsText" dxfId="11" text="corte caja integral">
      <formula>NOT(ISERROR(SEARCH("corte caja integral",K13)))</formula>
    </cfRule>
    <cfRule type="containsText" priority="1" operator="containsText" dxfId="10" text="corte promedio">
      <formula>NOT(ISERROR(SEARCH("corte promedio",K13)))</formula>
    </cfRule>
  </conditionalFormatting>
  <dataValidations xWindow="264" yWindow="321" count="2">
    <dataValidation sqref="D9" showDropDown="0" showInputMessage="1" showErrorMessage="1" allowBlank="1" errorTitle="Semana No creada" error="Semana Fuera de Rango" type="list">
      <formula1>"01,02,03,04,05,06,07,08,09,10,11,12,13,14,15,16,17,18,19,20,21,22,23,24,25,26,27,28,29,30,31,32,33,34,35,36,37,38,39,40,41,42,43,44,45,46,47,48,49,50,51,52"</formula1>
    </dataValidation>
    <dataValidation sqref="L6" showDropDown="0" showInputMessage="1" showErrorMessage="1" allowBlank="1" type="list">
      <formula1>"Aprobado,No Aprobado"</formula1>
    </dataValidation>
  </dataValidations>
  <pageMargins left="0.25" right="0.25" top="0.5" bottom="0.75" header="0" footer="0"/>
  <pageSetup orientation="landscape" scale="75" horizontalDpi="300" verticalDpi="300"/>
  <headerFooter alignWithMargins="0">
    <oddHeader/>
    <oddFooter>&amp;L&amp;"Arial,Bold"&amp;8 ___________________________x000a_             Elaboro&amp;C&amp;"Arial,Bold"&amp;8 __________________________x000a_Administrador&amp;R&amp;"Arial,Bold"&amp;8Sistemas&amp;"Arial,Regular"&amp;10 ___________________________x000a_     .........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Hoja3">
    <tabColor rgb="FF00B0F0"/>
    <outlinePr summaryBelow="1" summaryRight="1"/>
    <pageSetUpPr/>
  </sheetPr>
  <dimension ref="A1:H1588"/>
  <sheetViews>
    <sheetView showGridLines="0" topLeftCell="A1573" workbookViewId="0">
      <selection activeCell="B1586" sqref="B1586"/>
    </sheetView>
  </sheetViews>
  <sheetFormatPr baseColWidth="10" defaultColWidth="9.1796875" defaultRowHeight="14"/>
  <cols>
    <col width="8.26953125" bestFit="1" customWidth="1" style="19" min="1" max="1"/>
    <col width="47" bestFit="1" customWidth="1" style="19" min="2" max="2"/>
    <col width="10.7265625" bestFit="1" customWidth="1" style="19" min="3" max="3"/>
    <col width="8.81640625" bestFit="1" customWidth="1" style="205" min="4" max="4"/>
    <col width="11" bestFit="1" customWidth="1" style="19" min="5" max="5"/>
    <col width="9.1796875" customWidth="1" style="19" min="6" max="7"/>
    <col width="27.54296875" bestFit="1" customWidth="1" style="19" min="8" max="8"/>
    <col width="9.1796875" customWidth="1" style="19" min="9" max="16384"/>
  </cols>
  <sheetData>
    <row r="1" ht="14.5" customHeight="1">
      <c r="A1" s="16" t="inlineStr">
        <is>
          <t>CODIGO</t>
        </is>
      </c>
      <c r="B1" s="16" t="inlineStr">
        <is>
          <t>NOMBRE</t>
        </is>
      </c>
      <c r="C1" s="17" t="inlineStr">
        <is>
          <t>UND</t>
        </is>
      </c>
      <c r="D1" s="206" t="inlineStr">
        <is>
          <t>PRECIO</t>
        </is>
      </c>
      <c r="E1" s="19" t="inlineStr">
        <is>
          <t>CODIGO2</t>
        </is>
      </c>
      <c r="H1" s="20" t="inlineStr">
        <is>
          <t>REGRESAR A REPORTES</t>
        </is>
      </c>
    </row>
    <row r="2">
      <c r="A2" s="19" t="n">
        <v>1</v>
      </c>
      <c r="B2" s="19" t="inlineStr">
        <is>
          <t>Administrador</t>
        </is>
      </c>
      <c r="C2" s="19" t="inlineStr">
        <is>
          <t>hora</t>
        </is>
      </c>
      <c r="D2" s="19" t="n"/>
      <c r="E2" s="19" t="n">
        <v>1</v>
      </c>
    </row>
    <row r="3">
      <c r="A3" s="19" t="n">
        <v>2</v>
      </c>
      <c r="B3" s="19" t="inlineStr">
        <is>
          <t>Coordinador La Alegria</t>
        </is>
      </c>
      <c r="C3" s="19" t="inlineStr">
        <is>
          <t>hora</t>
        </is>
      </c>
      <c r="D3" s="19" t="n"/>
      <c r="E3" s="19" t="n">
        <v>2</v>
      </c>
    </row>
    <row r="4">
      <c r="A4" s="19" t="n">
        <v>3</v>
      </c>
      <c r="B4" s="19" t="inlineStr">
        <is>
          <t>Coordinador general</t>
        </is>
      </c>
      <c r="C4" s="19" t="inlineStr">
        <is>
          <t>hora</t>
        </is>
      </c>
      <c r="D4" s="19" t="n"/>
      <c r="E4" s="19" t="n">
        <v>3</v>
      </c>
      <c r="H4" s="20" t="inlineStr">
        <is>
          <t>REGRESA</t>
        </is>
      </c>
    </row>
    <row r="5">
      <c r="A5" s="19" t="n">
        <v>4</v>
      </c>
      <c r="B5" s="19" t="inlineStr">
        <is>
          <t>Colocacion de daipa</t>
        </is>
      </c>
      <c r="C5" s="19" t="inlineStr">
        <is>
          <t>unidad</t>
        </is>
      </c>
      <c r="D5" s="19" t="n"/>
      <c r="E5" s="19" t="n">
        <v>4</v>
      </c>
    </row>
    <row r="6">
      <c r="A6" s="19" t="n">
        <v>5</v>
      </c>
      <c r="B6" s="19" t="inlineStr">
        <is>
          <t>Desmache con palin</t>
        </is>
      </c>
      <c r="C6" s="19" t="inlineStr">
        <is>
          <t>hectarea</t>
        </is>
      </c>
      <c r="D6" s="19" t="n"/>
      <c r="E6" s="19" t="n">
        <v>5</v>
      </c>
    </row>
    <row r="7">
      <c r="A7" s="19" t="n">
        <v>6</v>
      </c>
      <c r="B7" s="19" t="inlineStr">
        <is>
          <t>Saldo pendiente dominical promediado</t>
        </is>
      </c>
      <c r="C7" s="19" t="inlineStr">
        <is>
          <t>hora</t>
        </is>
      </c>
      <c r="D7" s="19" t="n"/>
      <c r="E7" s="19" t="n">
        <v>6</v>
      </c>
    </row>
    <row r="8">
      <c r="A8" s="19" t="n">
        <v>7</v>
      </c>
      <c r="B8" s="19" t="inlineStr">
        <is>
          <t>Inventario  de fruta</t>
        </is>
      </c>
      <c r="C8" s="19" t="inlineStr">
        <is>
          <t>racimo</t>
        </is>
      </c>
      <c r="D8" s="19" t="n"/>
      <c r="E8" s="19" t="n">
        <v>7</v>
      </c>
    </row>
    <row r="9">
      <c r="A9" s="19" t="n">
        <v>8</v>
      </c>
      <c r="B9" s="19" t="inlineStr">
        <is>
          <t>Desague en plantacion</t>
        </is>
      </c>
      <c r="C9" s="19" t="inlineStr">
        <is>
          <t>racimo</t>
        </is>
      </c>
      <c r="D9" s="19" t="n"/>
      <c r="E9" s="19" t="n">
        <v>8</v>
      </c>
    </row>
    <row r="10">
      <c r="A10" s="19" t="n">
        <v>9</v>
      </c>
      <c r="B10" s="19" t="inlineStr">
        <is>
          <t>Embolse Elizabeth cristina</t>
        </is>
      </c>
      <c r="C10" s="19" t="inlineStr">
        <is>
          <t>hora</t>
        </is>
      </c>
      <c r="D10" s="19" t="n"/>
      <c r="E10" s="19" t="n">
        <v>9</v>
      </c>
    </row>
    <row r="11">
      <c r="A11" s="19" t="n">
        <v>10</v>
      </c>
      <c r="B11" s="19" t="inlineStr">
        <is>
          <t>Gerente general</t>
        </is>
      </c>
      <c r="C11" s="19" t="inlineStr">
        <is>
          <t>hora</t>
        </is>
      </c>
      <c r="D11" s="19" t="n"/>
      <c r="E11" s="19" t="n">
        <v>10</v>
      </c>
    </row>
    <row r="12">
      <c r="A12" s="19" t="n">
        <v>11</v>
      </c>
      <c r="B12" s="19" t="inlineStr">
        <is>
          <t>Saldo pendiente fertilizacion</t>
        </is>
      </c>
      <c r="C12" s="19" t="inlineStr">
        <is>
          <t>unidad</t>
        </is>
      </c>
      <c r="D12" s="19" t="n"/>
      <c r="E12" s="19" t="n">
        <v>11</v>
      </c>
    </row>
    <row r="13">
      <c r="A13" s="19" t="n">
        <v>12</v>
      </c>
      <c r="B13" s="19" t="inlineStr">
        <is>
          <t>Saldo pendiente fumigacion</t>
        </is>
      </c>
      <c r="C13" s="19" t="inlineStr">
        <is>
          <t>hora</t>
        </is>
      </c>
      <c r="D13" s="19" t="n"/>
      <c r="E13" s="19" t="n">
        <v>12</v>
      </c>
    </row>
    <row r="14">
      <c r="A14" s="19" t="n">
        <v>13</v>
      </c>
      <c r="B14" s="19" t="inlineStr">
        <is>
          <t>Limpia de cerca Elizabeth</t>
        </is>
      </c>
      <c r="C14" s="19" t="inlineStr">
        <is>
          <t>mts</t>
        </is>
      </c>
      <c r="D14" s="19" t="n"/>
      <c r="E14" s="19" t="n">
        <v>13</v>
      </c>
    </row>
    <row r="15">
      <c r="A15" s="19" t="n">
        <v>14</v>
      </c>
      <c r="B15" s="19" t="inlineStr">
        <is>
          <t>Hechura de cerca Elizabeth</t>
        </is>
      </c>
      <c r="C15" s="19" t="inlineStr">
        <is>
          <t>hora</t>
        </is>
      </c>
      <c r="D15" s="19" t="n"/>
      <c r="E15" s="19" t="n">
        <v>14</v>
      </c>
    </row>
    <row r="16">
      <c r="A16" s="19" t="n">
        <v>15</v>
      </c>
      <c r="B16" s="19" t="inlineStr">
        <is>
          <t>Fumigacion carola</t>
        </is>
      </c>
      <c r="C16" s="19" t="inlineStr">
        <is>
          <t>hora</t>
        </is>
      </c>
      <c r="D16" s="19" t="n"/>
      <c r="E16" s="19" t="n">
        <v>15</v>
      </c>
    </row>
    <row r="17">
      <c r="A17" s="19" t="n">
        <v>16</v>
      </c>
      <c r="B17" s="19" t="inlineStr">
        <is>
          <t>Precorte pendiente</t>
        </is>
      </c>
      <c r="C17" s="19" t="inlineStr">
        <is>
          <t>mts</t>
        </is>
      </c>
      <c r="D17" s="19" t="n"/>
      <c r="E17" s="19" t="n">
        <v>16</v>
      </c>
    </row>
    <row r="18">
      <c r="A18" s="19" t="n">
        <v>17</v>
      </c>
      <c r="B18" s="19" t="inlineStr">
        <is>
          <t>Cavada de carretera</t>
        </is>
      </c>
      <c r="C18" s="19" t="inlineStr">
        <is>
          <t>mts</t>
        </is>
      </c>
      <c r="D18" s="19" t="n"/>
      <c r="E18" s="19" t="n">
        <v>17</v>
      </c>
    </row>
    <row r="19">
      <c r="A19" s="19" t="n">
        <v>18</v>
      </c>
      <c r="B19" s="19" t="inlineStr">
        <is>
          <t>Construccion de canal al dia</t>
        </is>
      </c>
      <c r="C19" s="19" t="inlineStr">
        <is>
          <t>hora</t>
        </is>
      </c>
      <c r="D19" s="19" t="n"/>
      <c r="E19" s="19" t="n">
        <v>18</v>
      </c>
    </row>
    <row r="20">
      <c r="A20" s="19" t="n">
        <v>19</v>
      </c>
      <c r="B20" s="19" t="inlineStr">
        <is>
          <t>Aplicacion de wuxal por hora</t>
        </is>
      </c>
      <c r="C20" s="19" t="inlineStr">
        <is>
          <t>hora</t>
        </is>
      </c>
      <c r="D20" s="19" t="n"/>
      <c r="E20" s="19" t="n">
        <v>19</v>
      </c>
    </row>
    <row r="21">
      <c r="A21" s="19" t="n">
        <v>20</v>
      </c>
      <c r="B21" s="19" t="inlineStr">
        <is>
          <t>Embolse al dia</t>
        </is>
      </c>
      <c r="C21" s="19" t="inlineStr">
        <is>
          <t>hora</t>
        </is>
      </c>
      <c r="D21" s="19" t="n"/>
      <c r="E21" s="19" t="n">
        <v>20</v>
      </c>
    </row>
    <row r="22">
      <c r="A22" s="19" t="n">
        <v>21</v>
      </c>
      <c r="B22" s="19" t="inlineStr">
        <is>
          <t>Saldo pendiente parcela administrativa</t>
        </is>
      </c>
      <c r="C22" s="19" t="inlineStr">
        <is>
          <t>hora</t>
        </is>
      </c>
      <c r="D22" s="19" t="n"/>
      <c r="E22" s="19" t="n">
        <v>21</v>
      </c>
    </row>
    <row r="23">
      <c r="A23" s="19" t="n">
        <v>22</v>
      </c>
      <c r="B23" s="19" t="inlineStr">
        <is>
          <t>Reamarre al dia</t>
        </is>
      </c>
      <c r="C23" s="19" t="inlineStr">
        <is>
          <t>hora</t>
        </is>
      </c>
      <c r="D23" s="19" t="n"/>
      <c r="E23" s="19" t="n">
        <v>22</v>
      </c>
    </row>
    <row r="24">
      <c r="A24" s="19" t="n">
        <v>23</v>
      </c>
      <c r="B24" s="19" t="inlineStr">
        <is>
          <t>Deshoje</t>
        </is>
      </c>
      <c r="C24" s="19" t="inlineStr">
        <is>
          <t>hectarea</t>
        </is>
      </c>
      <c r="D24" s="19" t="n"/>
      <c r="E24" s="19" t="n">
        <v>23</v>
      </c>
    </row>
    <row r="25">
      <c r="A25" s="19" t="n">
        <v>24</v>
      </c>
      <c r="B25" s="19" t="inlineStr">
        <is>
          <t>Aplicacion de herbicida</t>
        </is>
      </c>
      <c r="C25" s="19" t="inlineStr">
        <is>
          <t>hectarea</t>
        </is>
      </c>
      <c r="D25" s="19" t="n"/>
      <c r="E25" s="19" t="n">
        <v>24</v>
      </c>
    </row>
    <row r="26">
      <c r="A26" s="19" t="n">
        <v>25</v>
      </c>
      <c r="B26" s="19" t="inlineStr">
        <is>
          <t>Desmache con sable</t>
        </is>
      </c>
      <c r="C26" s="19" t="inlineStr">
        <is>
          <t>hectarea</t>
        </is>
      </c>
      <c r="D26" s="19" t="n"/>
      <c r="E26" s="19" t="n">
        <v>25</v>
      </c>
    </row>
    <row r="27">
      <c r="A27" s="19" t="n">
        <v>26</v>
      </c>
      <c r="B27" s="19" t="inlineStr">
        <is>
          <t>Limpia a machete</t>
        </is>
      </c>
      <c r="C27" s="19" t="inlineStr">
        <is>
          <t>hora</t>
        </is>
      </c>
      <c r="D27" s="19" t="n"/>
      <c r="E27" s="19" t="n">
        <v>26</v>
      </c>
    </row>
    <row r="28">
      <c r="A28" s="19" t="n">
        <v>28</v>
      </c>
      <c r="B28" s="19" t="inlineStr">
        <is>
          <t>Desagüe en plantacion</t>
        </is>
      </c>
      <c r="C28" s="19" t="inlineStr">
        <is>
          <t>hora</t>
        </is>
      </c>
      <c r="D28" s="19" t="n"/>
      <c r="E28" s="19" t="n">
        <v>28</v>
      </c>
    </row>
    <row r="29">
      <c r="A29" s="19" t="n">
        <v>29</v>
      </c>
      <c r="B29" s="19" t="inlineStr">
        <is>
          <t>Aplicacion de fertilizante por hectarea</t>
        </is>
      </c>
      <c r="C29" s="19" t="inlineStr">
        <is>
          <t>hectarea</t>
        </is>
      </c>
      <c r="D29" s="19" t="n"/>
      <c r="E29" s="19" t="n">
        <v>29</v>
      </c>
    </row>
    <row r="30">
      <c r="A30" s="19" t="n">
        <v>30</v>
      </c>
      <c r="B30" s="19" t="inlineStr">
        <is>
          <t>Colocacion de yumbolon</t>
        </is>
      </c>
      <c r="C30" s="19" t="inlineStr">
        <is>
          <t>unidad</t>
        </is>
      </c>
      <c r="D30" s="19" t="n"/>
      <c r="E30" s="19" t="n">
        <v>30</v>
      </c>
    </row>
    <row r="31">
      <c r="A31" s="19" t="n">
        <v>31</v>
      </c>
      <c r="B31" s="19" t="inlineStr">
        <is>
          <t>Aplicacion de gallinaza</t>
        </is>
      </c>
      <c r="C31" s="19" t="inlineStr">
        <is>
          <t>hectarea</t>
        </is>
      </c>
      <c r="D31" s="19" t="n"/>
      <c r="E31" s="19" t="n">
        <v>31</v>
      </c>
    </row>
    <row r="32">
      <c r="A32" s="19" t="n">
        <v>32</v>
      </c>
      <c r="B32" s="19" t="inlineStr">
        <is>
          <t>Amarre al dia</t>
        </is>
      </c>
      <c r="C32" s="19" t="inlineStr">
        <is>
          <t>hora</t>
        </is>
      </c>
      <c r="D32" s="19" t="n"/>
      <c r="E32" s="19" t="n">
        <v>32</v>
      </c>
    </row>
    <row r="33">
      <c r="A33" s="19" t="n">
        <v>33</v>
      </c>
      <c r="B33" s="19" t="inlineStr">
        <is>
          <t>Apertura bolsa de empaque</t>
        </is>
      </c>
      <c r="C33" s="19" t="inlineStr">
        <is>
          <t>dia</t>
        </is>
      </c>
      <c r="D33" s="19" t="n"/>
      <c r="E33" s="19" t="n">
        <v>33</v>
      </c>
    </row>
    <row r="34">
      <c r="A34" s="19" t="n">
        <v>34</v>
      </c>
      <c r="B34" s="19" t="inlineStr">
        <is>
          <t>Hechura de antenas al dia</t>
        </is>
      </c>
      <c r="C34" s="19" t="inlineStr">
        <is>
          <t>hora</t>
        </is>
      </c>
      <c r="D34" s="19" t="n"/>
      <c r="E34" s="19" t="n">
        <v>34</v>
      </c>
    </row>
    <row r="35">
      <c r="A35" s="19" t="n">
        <v>35</v>
      </c>
      <c r="B35" s="19" t="inlineStr">
        <is>
          <t>Parcela al dia Elizabeth</t>
        </is>
      </c>
      <c r="C35" s="19" t="inlineStr">
        <is>
          <t>hora</t>
        </is>
      </c>
      <c r="D35" s="19" t="n"/>
      <c r="E35" s="19" t="n">
        <v>35</v>
      </c>
    </row>
    <row r="36">
      <c r="A36" s="19" t="n">
        <v>36</v>
      </c>
      <c r="B36" s="19" t="inlineStr">
        <is>
          <t>Chapia de canal secundario</t>
        </is>
      </c>
      <c r="C36" s="19" t="inlineStr">
        <is>
          <t>metro</t>
        </is>
      </c>
      <c r="D36" s="19" t="n"/>
      <c r="E36" s="19" t="n">
        <v>36</v>
      </c>
    </row>
    <row r="37">
      <c r="A37" s="19" t="n">
        <v>37</v>
      </c>
      <c r="B37" s="19" t="inlineStr">
        <is>
          <t>Desbloqueo jarillon</t>
        </is>
      </c>
      <c r="C37" s="19" t="inlineStr">
        <is>
          <t>hora</t>
        </is>
      </c>
      <c r="D37" s="19" t="n"/>
      <c r="E37" s="19" t="n">
        <v>37</v>
      </c>
    </row>
    <row r="38">
      <c r="A38" s="19" t="n">
        <v>38</v>
      </c>
      <c r="B38" s="19" t="inlineStr">
        <is>
          <t>Aplicacion de fertilizante al dia</t>
        </is>
      </c>
      <c r="C38" s="19" t="inlineStr">
        <is>
          <t>hora</t>
        </is>
      </c>
      <c r="D38" s="19" t="n"/>
      <c r="E38" s="19" t="n">
        <v>38</v>
      </c>
    </row>
    <row r="39">
      <c r="A39" s="19" t="n">
        <v>39</v>
      </c>
      <c r="B39" s="19" t="inlineStr">
        <is>
          <t>Aplicacion de nitrato de potasio</t>
        </is>
      </c>
      <c r="C39" s="19" t="inlineStr">
        <is>
          <t>hectarea</t>
        </is>
      </c>
      <c r="D39" s="19" t="n"/>
      <c r="E39" s="19" t="n">
        <v>39</v>
      </c>
    </row>
    <row r="40">
      <c r="A40" s="19" t="n">
        <v>40</v>
      </c>
      <c r="B40" s="19" t="inlineStr">
        <is>
          <t>Limpia de cerca</t>
        </is>
      </c>
      <c r="C40" s="19" t="inlineStr">
        <is>
          <t>hora</t>
        </is>
      </c>
      <c r="D40" s="19" t="n"/>
      <c r="E40" s="19" t="n">
        <v>40</v>
      </c>
    </row>
    <row r="41">
      <c r="A41" s="19" t="n">
        <v>41</v>
      </c>
      <c r="B41" s="19" t="inlineStr">
        <is>
          <t>Siembra de troncones</t>
        </is>
      </c>
      <c r="C41" s="19" t="inlineStr">
        <is>
          <t>unidad</t>
        </is>
      </c>
      <c r="D41" s="19" t="n"/>
      <c r="E41" s="19" t="n">
        <v>41</v>
      </c>
    </row>
    <row r="42">
      <c r="A42" s="19" t="n">
        <v>42</v>
      </c>
      <c r="B42" s="19" t="inlineStr">
        <is>
          <t>Hechura de zanja al dia</t>
        </is>
      </c>
      <c r="C42" s="19" t="inlineStr">
        <is>
          <t>hora</t>
        </is>
      </c>
      <c r="D42" s="19" t="n"/>
      <c r="E42" s="19" t="n">
        <v>42</v>
      </c>
    </row>
    <row r="43">
      <c r="A43" s="19" t="n">
        <v>43</v>
      </c>
      <c r="B43" s="19" t="inlineStr">
        <is>
          <t>Quemada de plastico</t>
        </is>
      </c>
      <c r="C43" s="19" t="inlineStr">
        <is>
          <t>mts</t>
        </is>
      </c>
      <c r="D43" s="19" t="n"/>
      <c r="E43" s="19" t="n">
        <v>43</v>
      </c>
    </row>
    <row r="44">
      <c r="A44" s="19" t="n">
        <v>44</v>
      </c>
      <c r="B44" s="19" t="inlineStr">
        <is>
          <t>Siembra de semillas</t>
        </is>
      </c>
      <c r="C44" s="19" t="inlineStr">
        <is>
          <t>semilla</t>
        </is>
      </c>
      <c r="D44" s="19" t="n"/>
      <c r="E44" s="19" t="n">
        <v>44</v>
      </c>
    </row>
    <row r="45">
      <c r="A45" s="19" t="n">
        <v>45</v>
      </c>
      <c r="B45" s="19" t="inlineStr">
        <is>
          <t>Acarreo de material de riego</t>
        </is>
      </c>
      <c r="C45" s="19" t="inlineStr">
        <is>
          <t>hora</t>
        </is>
      </c>
      <c r="D45" s="19" t="n"/>
      <c r="E45" s="19" t="n">
        <v>45</v>
      </c>
    </row>
    <row r="46">
      <c r="A46" s="19" t="n">
        <v>47</v>
      </c>
      <c r="B46" s="19" t="inlineStr">
        <is>
          <t>Recava canal secundario</t>
        </is>
      </c>
      <c r="C46" s="19" t="inlineStr">
        <is>
          <t>mts</t>
        </is>
      </c>
      <c r="D46" s="19" t="n"/>
      <c r="E46" s="19" t="n">
        <v>47</v>
      </c>
    </row>
    <row r="47">
      <c r="A47" s="19" t="n">
        <v>48</v>
      </c>
      <c r="B47" s="19" t="inlineStr">
        <is>
          <t>Recava de canal</t>
        </is>
      </c>
      <c r="C47" s="19" t="inlineStr">
        <is>
          <t>metro</t>
        </is>
      </c>
      <c r="D47" s="19" t="n"/>
      <c r="E47" s="19" t="n">
        <v>48</v>
      </c>
    </row>
    <row r="48">
      <c r="A48" s="19" t="n">
        <v>49</v>
      </c>
      <c r="B48" s="19" t="inlineStr">
        <is>
          <t>Deshoje Don Gaspar</t>
        </is>
      </c>
      <c r="C48" s="19" t="inlineStr">
        <is>
          <t>hectarea</t>
        </is>
      </c>
      <c r="D48" s="19" t="n"/>
      <c r="E48" s="19" t="n">
        <v>49</v>
      </c>
    </row>
    <row r="49">
      <c r="A49" s="19" t="n">
        <v>50</v>
      </c>
      <c r="B49" s="19" t="inlineStr">
        <is>
          <t>Oficios varios</t>
        </is>
      </c>
      <c r="C49" s="19" t="inlineStr">
        <is>
          <t>hora</t>
        </is>
      </c>
      <c r="D49" s="19" t="n"/>
      <c r="E49" s="19" t="n">
        <v>50</v>
      </c>
    </row>
    <row r="50">
      <c r="A50" s="19" t="n">
        <v>51</v>
      </c>
      <c r="B50" s="19" t="inlineStr">
        <is>
          <t>Cargue y descargue abono</t>
        </is>
      </c>
      <c r="C50" s="19" t="inlineStr">
        <is>
          <t>hora</t>
        </is>
      </c>
      <c r="D50" s="19" t="n"/>
      <c r="E50" s="19" t="n">
        <v>51</v>
      </c>
    </row>
    <row r="51">
      <c r="A51" s="19" t="n">
        <v>52</v>
      </c>
      <c r="B51" s="19" t="inlineStr">
        <is>
          <t>Engrase de garruchas</t>
        </is>
      </c>
      <c r="C51" s="19" t="inlineStr">
        <is>
          <t>dia</t>
        </is>
      </c>
      <c r="D51" s="19" t="n"/>
      <c r="E51" s="19" t="n">
        <v>52</v>
      </c>
    </row>
    <row r="52">
      <c r="A52" s="19" t="n">
        <v>53</v>
      </c>
      <c r="B52" s="19" t="inlineStr">
        <is>
          <t>Aprov. matas caidas</t>
        </is>
      </c>
      <c r="C52" s="19" t="inlineStr">
        <is>
          <t>hora</t>
        </is>
      </c>
      <c r="D52" s="19" t="n"/>
      <c r="E52" s="19" t="n">
        <v>53</v>
      </c>
    </row>
    <row r="53">
      <c r="A53" s="19" t="n">
        <v>54</v>
      </c>
      <c r="B53" s="19" t="inlineStr">
        <is>
          <t>Recargo nocturno regadores</t>
        </is>
      </c>
      <c r="C53" s="19" t="inlineStr">
        <is>
          <t>hora</t>
        </is>
      </c>
      <c r="D53" s="19" t="n"/>
      <c r="E53" s="19" t="n">
        <v>54</v>
      </c>
    </row>
    <row r="54">
      <c r="A54" s="19" t="n">
        <v>55</v>
      </c>
      <c r="B54" s="19" t="inlineStr">
        <is>
          <t>Siembra de plantas vivero</t>
        </is>
      </c>
      <c r="C54" s="19" t="inlineStr">
        <is>
          <t>hora</t>
        </is>
      </c>
      <c r="D54" s="19" t="n"/>
      <c r="E54" s="19" t="n">
        <v>55</v>
      </c>
    </row>
    <row r="55">
      <c r="A55" s="19" t="n">
        <v>56</v>
      </c>
      <c r="B55" s="19" t="inlineStr">
        <is>
          <t>Arreglo de plantilla</t>
        </is>
      </c>
      <c r="C55" s="19" t="inlineStr">
        <is>
          <t>hora</t>
        </is>
      </c>
      <c r="D55" s="19" t="n"/>
      <c r="E55" s="19" t="n">
        <v>56</v>
      </c>
    </row>
    <row r="56">
      <c r="A56" s="19" t="n">
        <v>57</v>
      </c>
      <c r="B56" s="19" t="inlineStr">
        <is>
          <t>Ayudante de albañil Elizabeth</t>
        </is>
      </c>
      <c r="C56" s="19" t="inlineStr">
        <is>
          <t>hora</t>
        </is>
      </c>
      <c r="D56" s="19" t="n"/>
      <c r="E56" s="19" t="n">
        <v>57</v>
      </c>
    </row>
    <row r="57">
      <c r="A57" s="19" t="n">
        <v>58</v>
      </c>
      <c r="B57" s="19" t="inlineStr">
        <is>
          <t>Coordinador de campo</t>
        </is>
      </c>
      <c r="C57" s="19" t="inlineStr">
        <is>
          <t>hora</t>
        </is>
      </c>
      <c r="D57" s="19" t="n"/>
      <c r="E57" s="19" t="n">
        <v>58</v>
      </c>
    </row>
    <row r="58">
      <c r="A58" s="19" t="n">
        <v>59</v>
      </c>
      <c r="B58" s="19" t="inlineStr">
        <is>
          <t>Programa de recuperacion</t>
        </is>
      </c>
      <c r="C58" s="19" t="inlineStr">
        <is>
          <t>hora</t>
        </is>
      </c>
      <c r="D58" s="19" t="n"/>
      <c r="E58" s="19" t="n">
        <v>59</v>
      </c>
    </row>
    <row r="59">
      <c r="A59" s="19" t="n">
        <v>60</v>
      </c>
      <c r="B59" s="19" t="inlineStr">
        <is>
          <t>Corte de caña</t>
        </is>
      </c>
      <c r="C59" s="19" t="inlineStr">
        <is>
          <t>hora</t>
        </is>
      </c>
      <c r="D59" s="19" t="n"/>
      <c r="E59" s="19" t="n">
        <v>60</v>
      </c>
    </row>
    <row r="60">
      <c r="A60" s="19" t="n">
        <v>61</v>
      </c>
      <c r="B60" s="19" t="inlineStr">
        <is>
          <t>Limpia con guadaña al dia dominical</t>
        </is>
      </c>
      <c r="C60" s="19" t="inlineStr">
        <is>
          <t>hora</t>
        </is>
      </c>
      <c r="D60" s="19" t="n"/>
      <c r="E60" s="19" t="n">
        <v>61</v>
      </c>
    </row>
    <row r="61">
      <c r="A61" s="19" t="n">
        <v>62</v>
      </c>
      <c r="B61" s="19" t="inlineStr">
        <is>
          <t>Repique cepa corte o viento</t>
        </is>
      </c>
      <c r="C61" s="19" t="inlineStr">
        <is>
          <t>hora</t>
        </is>
      </c>
      <c r="D61" s="19" t="n"/>
      <c r="E61" s="19" t="n">
        <v>62</v>
      </c>
    </row>
    <row r="62">
      <c r="A62" s="19" t="n">
        <v>63</v>
      </c>
      <c r="B62" s="19" t="inlineStr">
        <is>
          <t>Limpia con guadaña al dia festivo</t>
        </is>
      </c>
      <c r="C62" s="19" t="inlineStr">
        <is>
          <t>hora</t>
        </is>
      </c>
      <c r="D62" s="19" t="n"/>
      <c r="E62" s="19" t="n">
        <v>63</v>
      </c>
    </row>
    <row r="63">
      <c r="A63" s="19" t="n">
        <v>64</v>
      </c>
      <c r="B63" s="19" t="inlineStr">
        <is>
          <t>Chapia de canal al dia festivo</t>
        </is>
      </c>
      <c r="C63" s="19" t="inlineStr">
        <is>
          <t>hora</t>
        </is>
      </c>
      <c r="D63" s="19" t="n"/>
      <c r="E63" s="19" t="n">
        <v>64</v>
      </c>
    </row>
    <row r="64">
      <c r="A64" s="19" t="n">
        <v>65</v>
      </c>
      <c r="B64" s="19" t="inlineStr">
        <is>
          <t>Parcela al dia h.e.d.</t>
        </is>
      </c>
      <c r="C64" s="19" t="inlineStr">
        <is>
          <t>hora</t>
        </is>
      </c>
      <c r="D64" s="19" t="n"/>
      <c r="E64" s="19" t="n">
        <v>65</v>
      </c>
    </row>
    <row r="65">
      <c r="A65" s="19" t="n">
        <v>66</v>
      </c>
      <c r="B65" s="19" t="inlineStr">
        <is>
          <t>Aplicacion mezcla sigatoka y foliar</t>
        </is>
      </c>
      <c r="C65" s="19" t="inlineStr">
        <is>
          <t>hectarea</t>
        </is>
      </c>
      <c r="D65" s="19" t="n"/>
      <c r="E65" s="19" t="n">
        <v>66</v>
      </c>
    </row>
    <row r="66">
      <c r="A66" s="19" t="n">
        <v>67</v>
      </c>
      <c r="B66" s="19" t="inlineStr">
        <is>
          <t>Precalibracion festivo</t>
        </is>
      </c>
      <c r="C66" s="19" t="inlineStr">
        <is>
          <t>hora</t>
        </is>
      </c>
      <c r="D66" s="19" t="n"/>
      <c r="E66" s="19" t="n">
        <v>67</v>
      </c>
    </row>
    <row r="67">
      <c r="A67" s="19" t="n">
        <v>68</v>
      </c>
      <c r="B67" s="19" t="inlineStr">
        <is>
          <t>Riego h.e.n. festivo</t>
        </is>
      </c>
      <c r="C67" s="19" t="inlineStr">
        <is>
          <t>hora</t>
        </is>
      </c>
      <c r="D67" s="19" t="n"/>
      <c r="E67" s="19" t="n">
        <v>68</v>
      </c>
    </row>
    <row r="68">
      <c r="A68" s="19" t="n">
        <v>69</v>
      </c>
      <c r="B68" s="19" t="inlineStr">
        <is>
          <t>Mantenimiento de motor</t>
        </is>
      </c>
      <c r="C68" s="19" t="inlineStr">
        <is>
          <t>hora</t>
        </is>
      </c>
      <c r="D68" s="19" t="n"/>
      <c r="E68" s="19" t="n">
        <v>69</v>
      </c>
    </row>
    <row r="69">
      <c r="A69" s="19" t="n">
        <v>70</v>
      </c>
      <c r="B69" s="19" t="inlineStr">
        <is>
          <t>Motorista</t>
        </is>
      </c>
      <c r="C69" s="19" t="inlineStr">
        <is>
          <t>hora</t>
        </is>
      </c>
      <c r="D69" s="19" t="n"/>
      <c r="E69" s="19" t="n">
        <v>70</v>
      </c>
    </row>
    <row r="70">
      <c r="A70" s="19" t="n">
        <v>71</v>
      </c>
      <c r="B70" s="19" t="inlineStr">
        <is>
          <t>Motorista h.e.d.</t>
        </is>
      </c>
      <c r="C70" s="19" t="inlineStr">
        <is>
          <t>hora</t>
        </is>
      </c>
      <c r="D70" s="19" t="n"/>
      <c r="E70" s="19" t="n">
        <v>71</v>
      </c>
    </row>
    <row r="71">
      <c r="A71" s="19" t="n">
        <v>72</v>
      </c>
      <c r="B71" s="19" t="inlineStr">
        <is>
          <t>Riego</t>
        </is>
      </c>
      <c r="C71" s="19" t="inlineStr">
        <is>
          <t>hora</t>
        </is>
      </c>
      <c r="D71" s="19" t="n"/>
      <c r="E71" s="19" t="n">
        <v>72</v>
      </c>
    </row>
    <row r="72">
      <c r="A72" s="19" t="n">
        <v>73</v>
      </c>
      <c r="B72" s="19" t="inlineStr">
        <is>
          <t>Riego Elizabeth cristina</t>
        </is>
      </c>
      <c r="C72" s="19" t="inlineStr">
        <is>
          <t>hora</t>
        </is>
      </c>
      <c r="D72" s="19" t="n"/>
      <c r="E72" s="19" t="n">
        <v>73</v>
      </c>
    </row>
    <row r="73">
      <c r="A73" s="19" t="n">
        <v>74</v>
      </c>
      <c r="B73" s="19" t="inlineStr">
        <is>
          <t>Riego nocturno</t>
        </is>
      </c>
      <c r="C73" s="19" t="inlineStr">
        <is>
          <t>hora</t>
        </is>
      </c>
      <c r="D73" s="19" t="n"/>
      <c r="E73" s="19" t="n">
        <v>74</v>
      </c>
    </row>
    <row r="74">
      <c r="A74" s="19" t="n">
        <v>75</v>
      </c>
      <c r="B74" s="19" t="inlineStr">
        <is>
          <t>Riego festivo h.e.d.</t>
        </is>
      </c>
      <c r="C74" s="19" t="inlineStr">
        <is>
          <t>hora</t>
        </is>
      </c>
      <c r="D74" s="19" t="n"/>
      <c r="E74" s="19" t="n">
        <v>75</v>
      </c>
    </row>
    <row r="75">
      <c r="A75" s="19" t="n">
        <v>76</v>
      </c>
      <c r="B75" s="19" t="inlineStr">
        <is>
          <t>Compesatorio</t>
        </is>
      </c>
      <c r="C75" s="19" t="inlineStr">
        <is>
          <t>hora</t>
        </is>
      </c>
      <c r="D75" s="19" t="n"/>
      <c r="E75" s="19" t="n">
        <v>76</v>
      </c>
    </row>
    <row r="76">
      <c r="A76" s="19" t="n">
        <v>77</v>
      </c>
      <c r="B76" s="19" t="inlineStr">
        <is>
          <t>Saldo pendiente botada de vastago</t>
        </is>
      </c>
      <c r="C76" s="19" t="inlineStr">
        <is>
          <t>unidad</t>
        </is>
      </c>
      <c r="D76" s="19" t="n"/>
      <c r="E76" s="19" t="n">
        <v>77</v>
      </c>
    </row>
    <row r="77">
      <c r="A77" s="19" t="n">
        <v>80</v>
      </c>
      <c r="B77" s="19" t="inlineStr">
        <is>
          <t>Celaduria canal de riego</t>
        </is>
      </c>
      <c r="C77" s="19" t="inlineStr">
        <is>
          <t>hora</t>
        </is>
      </c>
      <c r="D77" s="19" t="n"/>
      <c r="E77" s="19" t="n">
        <v>80</v>
      </c>
    </row>
    <row r="78">
      <c r="A78" s="19" t="n">
        <v>81</v>
      </c>
      <c r="B78" s="19" t="inlineStr">
        <is>
          <t>Recava de canal al dia</t>
        </is>
      </c>
      <c r="C78" s="19" t="inlineStr">
        <is>
          <t>hora</t>
        </is>
      </c>
      <c r="D78" s="19" t="n"/>
      <c r="E78" s="19" t="n">
        <v>81</v>
      </c>
    </row>
    <row r="79">
      <c r="A79" s="19" t="n">
        <v>82</v>
      </c>
      <c r="B79" s="19" t="inlineStr">
        <is>
          <t>Mantenimiento de cable via</t>
        </is>
      </c>
      <c r="C79" s="19" t="inlineStr">
        <is>
          <t>hora</t>
        </is>
      </c>
      <c r="D79" s="19" t="n"/>
      <c r="E79" s="19" t="n">
        <v>82</v>
      </c>
    </row>
    <row r="80">
      <c r="A80" s="19" t="n">
        <v>83</v>
      </c>
      <c r="B80" s="19" t="inlineStr">
        <is>
          <t>Instalacion de riego</t>
        </is>
      </c>
      <c r="C80" s="19" t="inlineStr">
        <is>
          <t>hora</t>
        </is>
      </c>
      <c r="D80" s="19" t="n"/>
      <c r="E80" s="19" t="n">
        <v>83</v>
      </c>
    </row>
    <row r="81">
      <c r="A81" s="19" t="n">
        <v>84</v>
      </c>
      <c r="B81" s="19" t="inlineStr">
        <is>
          <t>Construccion de alberca</t>
        </is>
      </c>
      <c r="C81" s="19" t="inlineStr">
        <is>
          <t>hora</t>
        </is>
      </c>
      <c r="D81" s="19" t="n"/>
      <c r="E81" s="19" t="n">
        <v>84</v>
      </c>
    </row>
    <row r="82">
      <c r="A82" s="19" t="n">
        <v>85</v>
      </c>
      <c r="B82" s="19" t="inlineStr">
        <is>
          <t>Apertura de bolsas de campo</t>
        </is>
      </c>
      <c r="C82" s="19" t="inlineStr">
        <is>
          <t>unidad</t>
        </is>
      </c>
      <c r="D82" s="19" t="n"/>
      <c r="E82" s="19" t="n">
        <v>85</v>
      </c>
    </row>
    <row r="83">
      <c r="A83" s="19" t="n">
        <v>86</v>
      </c>
      <c r="B83" s="19" t="inlineStr">
        <is>
          <t>Fertirriego</t>
        </is>
      </c>
      <c r="C83" s="19" t="inlineStr">
        <is>
          <t>hora</t>
        </is>
      </c>
      <c r="D83" s="19" t="n"/>
      <c r="E83" s="19" t="n">
        <v>86</v>
      </c>
    </row>
    <row r="84">
      <c r="A84" s="19" t="n">
        <v>87</v>
      </c>
      <c r="B84" s="19" t="inlineStr">
        <is>
          <t>Llenada de bolsas vivero por hora</t>
        </is>
      </c>
      <c r="C84" s="19" t="inlineStr">
        <is>
          <t>hora</t>
        </is>
      </c>
      <c r="D84" s="19" t="n"/>
      <c r="E84" s="19" t="n">
        <v>87</v>
      </c>
    </row>
    <row r="85">
      <c r="A85" s="19" t="n">
        <v>88</v>
      </c>
      <c r="B85" s="19" t="inlineStr">
        <is>
          <t>Celaduria compensatorio</t>
        </is>
      </c>
      <c r="C85" s="19" t="inlineStr">
        <is>
          <t>hora</t>
        </is>
      </c>
      <c r="D85" s="19" t="n"/>
      <c r="E85" s="19" t="n">
        <v>88</v>
      </c>
    </row>
    <row r="86">
      <c r="A86" s="19" t="n">
        <v>89</v>
      </c>
      <c r="B86" s="19" t="inlineStr">
        <is>
          <t>Riego h.e.n.</t>
        </is>
      </c>
      <c r="C86" s="19" t="inlineStr">
        <is>
          <t>hora</t>
        </is>
      </c>
      <c r="D86" s="19" t="n"/>
      <c r="E86" s="19" t="n">
        <v>89</v>
      </c>
    </row>
    <row r="87">
      <c r="A87" s="19" t="n">
        <v>90</v>
      </c>
      <c r="B87" s="19" t="inlineStr">
        <is>
          <t>Dominical promediado</t>
        </is>
      </c>
      <c r="C87" s="19" t="inlineStr">
        <is>
          <t>hora</t>
        </is>
      </c>
      <c r="D87" s="19" t="n"/>
      <c r="E87" s="19" t="n">
        <v>90</v>
      </c>
    </row>
    <row r="88">
      <c r="A88" s="19" t="n">
        <v>91</v>
      </c>
      <c r="B88" s="19" t="inlineStr">
        <is>
          <t>Festivo promediado</t>
        </is>
      </c>
      <c r="C88" s="19" t="inlineStr">
        <is>
          <t>hora</t>
        </is>
      </c>
      <c r="D88" s="19" t="n"/>
      <c r="E88" s="19" t="n">
        <v>91</v>
      </c>
    </row>
    <row r="89">
      <c r="A89" s="19" t="n">
        <v>92</v>
      </c>
      <c r="B89" s="19" t="inlineStr">
        <is>
          <t>Ayudante de fertirriego</t>
        </is>
      </c>
      <c r="C89" s="19" t="inlineStr">
        <is>
          <t>hora</t>
        </is>
      </c>
      <c r="D89" s="19" t="n"/>
      <c r="E89" s="19" t="n">
        <v>92</v>
      </c>
    </row>
    <row r="90">
      <c r="A90" s="19" t="n">
        <v>93</v>
      </c>
      <c r="B90" s="19" t="inlineStr">
        <is>
          <t>Instalacion de riego h.e.d.</t>
        </is>
      </c>
      <c r="C90" s="19" t="inlineStr">
        <is>
          <t>hora</t>
        </is>
      </c>
      <c r="D90" s="19" t="n"/>
      <c r="E90" s="19" t="n">
        <v>93</v>
      </c>
    </row>
    <row r="91">
      <c r="A91" s="19" t="n">
        <v>94</v>
      </c>
      <c r="B91" s="19" t="inlineStr">
        <is>
          <t>Suspencion de contrato</t>
        </is>
      </c>
      <c r="C91" s="19" t="inlineStr">
        <is>
          <t>hora</t>
        </is>
      </c>
      <c r="D91" s="19" t="n"/>
      <c r="E91" s="19" t="n">
        <v>94</v>
      </c>
    </row>
    <row r="92">
      <c r="A92" s="19" t="n">
        <v>95</v>
      </c>
      <c r="B92" s="19" t="inlineStr">
        <is>
          <t>Acarreo de racimos gondola</t>
        </is>
      </c>
      <c r="C92" s="19" t="inlineStr">
        <is>
          <t>hora</t>
        </is>
      </c>
      <c r="D92" s="19" t="n"/>
      <c r="E92" s="19" t="n">
        <v>95</v>
      </c>
    </row>
    <row r="93">
      <c r="A93" s="19" t="n">
        <v>96</v>
      </c>
      <c r="B93" s="19" t="inlineStr">
        <is>
          <t>Levante de manguera</t>
        </is>
      </c>
      <c r="C93" s="19" t="inlineStr">
        <is>
          <t>hora</t>
        </is>
      </c>
      <c r="D93" s="19" t="n"/>
      <c r="E93" s="19" t="n">
        <v>96</v>
      </c>
    </row>
    <row r="94">
      <c r="A94" s="19" t="n">
        <v>97</v>
      </c>
      <c r="B94" s="19" t="inlineStr">
        <is>
          <t>Corte palma al dia</t>
        </is>
      </c>
      <c r="C94" s="19" t="inlineStr">
        <is>
          <t>hora</t>
        </is>
      </c>
      <c r="D94" s="19" t="n"/>
      <c r="E94" s="19" t="n">
        <v>97</v>
      </c>
    </row>
    <row r="95">
      <c r="A95" s="19" t="n">
        <v>98</v>
      </c>
      <c r="B95" s="19" t="inlineStr">
        <is>
          <t>Ayudante de instalacion de riego</t>
        </is>
      </c>
      <c r="C95" s="19" t="inlineStr">
        <is>
          <t>hora</t>
        </is>
      </c>
      <c r="D95" s="19" t="n"/>
      <c r="E95" s="19" t="n">
        <v>98</v>
      </c>
    </row>
    <row r="96">
      <c r="A96" s="19" t="n">
        <v>99</v>
      </c>
      <c r="B96" s="19" t="inlineStr">
        <is>
          <t>Desmonte de vivero</t>
        </is>
      </c>
      <c r="C96" s="19" t="inlineStr">
        <is>
          <t>hora</t>
        </is>
      </c>
      <c r="D96" s="19" t="n"/>
      <c r="E96" s="19" t="n">
        <v>99</v>
      </c>
    </row>
    <row r="97">
      <c r="A97" s="19" t="n">
        <v>100</v>
      </c>
      <c r="B97" s="19" t="inlineStr">
        <is>
          <t>Auxilio de transporte</t>
        </is>
      </c>
      <c r="C97" s="19" t="inlineStr">
        <is>
          <t>dia</t>
        </is>
      </c>
      <c r="D97" s="19" t="n"/>
      <c r="E97" s="19" t="n">
        <v>100</v>
      </c>
    </row>
    <row r="98">
      <c r="A98" s="19" t="n">
        <v>101</v>
      </c>
      <c r="B98" s="19" t="inlineStr">
        <is>
          <t>Permiso</t>
        </is>
      </c>
      <c r="C98" s="19" t="inlineStr">
        <is>
          <t>hora</t>
        </is>
      </c>
      <c r="D98" s="19" t="n"/>
      <c r="E98" s="19" t="n">
        <v>101</v>
      </c>
    </row>
    <row r="99">
      <c r="A99" s="19" t="n">
        <v>102</v>
      </c>
      <c r="B99" s="19" t="inlineStr">
        <is>
          <t>Ausente</t>
        </is>
      </c>
      <c r="C99" s="19" t="inlineStr">
        <is>
          <t>hora</t>
        </is>
      </c>
      <c r="D99" s="19" t="n"/>
      <c r="E99" s="19" t="n">
        <v>102</v>
      </c>
    </row>
    <row r="100">
      <c r="A100" s="19" t="n">
        <v>104</v>
      </c>
      <c r="B100" s="19" t="inlineStr">
        <is>
          <t>Chapia de canal</t>
        </is>
      </c>
      <c r="C100" s="19" t="inlineStr">
        <is>
          <t>metro</t>
        </is>
      </c>
      <c r="D100" s="19" t="n"/>
      <c r="E100" s="19" t="n">
        <v>104</v>
      </c>
    </row>
    <row r="101">
      <c r="A101" s="19" t="n">
        <v>105</v>
      </c>
      <c r="B101" s="19" t="inlineStr">
        <is>
          <t>Acarreo de bolsas vivero</t>
        </is>
      </c>
      <c r="C101" s="19" t="inlineStr">
        <is>
          <t>hora</t>
        </is>
      </c>
      <c r="D101" s="19" t="n"/>
      <c r="E101" s="19" t="n">
        <v>105</v>
      </c>
    </row>
    <row r="102">
      <c r="A102" s="19" t="n">
        <v>106</v>
      </c>
      <c r="B102" s="19" t="inlineStr">
        <is>
          <t>Celaduria h.e.n.</t>
        </is>
      </c>
      <c r="C102" s="19" t="inlineStr">
        <is>
          <t>dia</t>
        </is>
      </c>
      <c r="D102" s="19" t="n"/>
      <c r="E102" s="19" t="n">
        <v>106</v>
      </c>
    </row>
    <row r="103">
      <c r="A103" s="19" t="n">
        <v>107</v>
      </c>
      <c r="B103" s="19" t="inlineStr">
        <is>
          <t>Chapia de canal con guadaña</t>
        </is>
      </c>
      <c r="C103" s="19" t="inlineStr">
        <is>
          <t>metro</t>
        </is>
      </c>
      <c r="D103" s="19" t="n"/>
      <c r="E103" s="19" t="n">
        <v>107</v>
      </c>
    </row>
    <row r="104">
      <c r="A104" s="19" t="n">
        <v>108</v>
      </c>
      <c r="B104" s="19" t="inlineStr">
        <is>
          <t>Ayudante de parcela Elizabeth</t>
        </is>
      </c>
      <c r="C104" s="19" t="inlineStr">
        <is>
          <t>hora</t>
        </is>
      </c>
      <c r="D104" s="19" t="n"/>
      <c r="E104" s="19" t="n">
        <v>108</v>
      </c>
    </row>
    <row r="105">
      <c r="A105" s="19" t="n">
        <v>109</v>
      </c>
      <c r="B105" s="19" t="inlineStr">
        <is>
          <t>Destape de sifon</t>
        </is>
      </c>
      <c r="C105" s="19" t="inlineStr">
        <is>
          <t>hora</t>
        </is>
      </c>
      <c r="D105" s="19" t="n"/>
      <c r="E105" s="19" t="n">
        <v>109</v>
      </c>
    </row>
    <row r="106">
      <c r="A106" s="19" t="n">
        <v>110</v>
      </c>
      <c r="B106" s="19" t="inlineStr">
        <is>
          <t>Desmache con macana plantilla</t>
        </is>
      </c>
      <c r="C106" s="19" t="inlineStr">
        <is>
          <t>hectarea</t>
        </is>
      </c>
      <c r="D106" s="19" t="n"/>
      <c r="E106" s="19" t="n">
        <v>110</v>
      </c>
    </row>
    <row r="107">
      <c r="A107" s="19" t="n">
        <v>111</v>
      </c>
      <c r="B107" s="19" t="inlineStr">
        <is>
          <t>Corte caja integral dominical</t>
        </is>
      </c>
      <c r="C107" s="19" t="inlineStr">
        <is>
          <t>caja</t>
        </is>
      </c>
      <c r="D107" s="19" t="n"/>
      <c r="E107" s="19" t="n">
        <v>111</v>
      </c>
    </row>
    <row r="108">
      <c r="A108" s="19" t="n">
        <v>112</v>
      </c>
      <c r="B108" s="19" t="inlineStr">
        <is>
          <t>Permiso por calamidad familiar</t>
        </is>
      </c>
      <c r="C108" s="19" t="inlineStr">
        <is>
          <t>hora</t>
        </is>
      </c>
      <c r="D108" s="19" t="n"/>
      <c r="E108" s="19" t="n">
        <v>112</v>
      </c>
    </row>
    <row r="109">
      <c r="A109" s="19" t="n">
        <v>113</v>
      </c>
      <c r="B109" s="19" t="inlineStr">
        <is>
          <t>Corte promedio dominical</t>
        </is>
      </c>
      <c r="C109" s="19" t="inlineStr">
        <is>
          <t>caja</t>
        </is>
      </c>
      <c r="D109" s="19" t="n"/>
      <c r="E109" s="19" t="n">
        <v>113</v>
      </c>
    </row>
    <row r="110">
      <c r="A110" s="19" t="n">
        <v>114</v>
      </c>
      <c r="B110" s="19" t="inlineStr">
        <is>
          <t>Corte promedio auxiliar dominical</t>
        </is>
      </c>
      <c r="C110" s="19" t="inlineStr">
        <is>
          <t>unidad</t>
        </is>
      </c>
      <c r="D110" s="19" t="n"/>
      <c r="E110" s="19" t="n">
        <v>114</v>
      </c>
    </row>
    <row r="111">
      <c r="A111" s="19" t="n">
        <v>115</v>
      </c>
      <c r="B111" s="19" t="inlineStr">
        <is>
          <t>Almacenista dominical</t>
        </is>
      </c>
      <c r="C111" s="19" t="inlineStr">
        <is>
          <t>hora</t>
        </is>
      </c>
      <c r="D111" s="19" t="n"/>
      <c r="E111" s="19" t="n">
        <v>115</v>
      </c>
    </row>
    <row r="112">
      <c r="A112" s="19" t="n">
        <v>116</v>
      </c>
      <c r="B112" s="19" t="inlineStr">
        <is>
          <t>Parcela combinada dominical</t>
        </is>
      </c>
      <c r="C112" s="19" t="inlineStr">
        <is>
          <t>hectarea</t>
        </is>
      </c>
      <c r="D112" s="19" t="n"/>
      <c r="E112" s="19" t="n">
        <v>116</v>
      </c>
    </row>
    <row r="113">
      <c r="A113" s="19" t="n">
        <v>117</v>
      </c>
      <c r="B113" s="19" t="inlineStr">
        <is>
          <t>Limpia con guadaña mla por hora</t>
        </is>
      </c>
      <c r="C113" s="19" t="inlineStr">
        <is>
          <t>hora</t>
        </is>
      </c>
      <c r="D113" s="19" t="n"/>
      <c r="E113" s="19" t="n">
        <v>117</v>
      </c>
    </row>
    <row r="114">
      <c r="A114" s="19" t="n">
        <v>118</v>
      </c>
      <c r="B114" s="19" t="inlineStr">
        <is>
          <t>Limpia guadaña empacadora</t>
        </is>
      </c>
      <c r="C114" s="19" t="inlineStr">
        <is>
          <t>hora</t>
        </is>
      </c>
      <c r="D114" s="19" t="n"/>
      <c r="E114" s="19" t="n">
        <v>118</v>
      </c>
    </row>
    <row r="115">
      <c r="A115" s="19" t="n">
        <v>119</v>
      </c>
      <c r="B115" s="19" t="inlineStr">
        <is>
          <t>Ayudante de riego</t>
        </is>
      </c>
      <c r="C115" s="19" t="inlineStr">
        <is>
          <t>hora</t>
        </is>
      </c>
      <c r="D115" s="19" t="n"/>
      <c r="E115" s="19" t="n">
        <v>119</v>
      </c>
    </row>
    <row r="116">
      <c r="A116" s="19" t="n">
        <v>120</v>
      </c>
      <c r="B116" s="19" t="inlineStr">
        <is>
          <t>Licencia</t>
        </is>
      </c>
      <c r="C116" s="19" t="inlineStr">
        <is>
          <t>hora</t>
        </is>
      </c>
      <c r="D116" s="19" t="n"/>
      <c r="E116" s="19" t="n">
        <v>120</v>
      </c>
    </row>
    <row r="117">
      <c r="A117" s="19" t="n">
        <v>121</v>
      </c>
      <c r="B117" s="19" t="inlineStr">
        <is>
          <t>Permiso no remunerado</t>
        </is>
      </c>
      <c r="C117" s="19" t="inlineStr">
        <is>
          <t>hora</t>
        </is>
      </c>
      <c r="D117" s="19" t="n"/>
      <c r="E117" s="19" t="n">
        <v>121</v>
      </c>
    </row>
    <row r="118">
      <c r="A118" s="19" t="n">
        <v>122</v>
      </c>
      <c r="B118" s="19" t="inlineStr">
        <is>
          <t>Realce Elizabeth</t>
        </is>
      </c>
      <c r="C118" s="19" t="inlineStr">
        <is>
          <t>hora</t>
        </is>
      </c>
      <c r="D118" s="19" t="n"/>
      <c r="E118" s="19" t="n">
        <v>122</v>
      </c>
    </row>
    <row r="119">
      <c r="A119" s="19" t="n">
        <v>123</v>
      </c>
      <c r="B119" s="19" t="inlineStr">
        <is>
          <t>Arranque de troncon</t>
        </is>
      </c>
      <c r="C119" s="19" t="inlineStr">
        <is>
          <t>hora</t>
        </is>
      </c>
      <c r="D119" s="19" t="n"/>
      <c r="E119" s="19" t="n">
        <v>123</v>
      </c>
    </row>
    <row r="120">
      <c r="A120" s="19" t="n">
        <v>124</v>
      </c>
      <c r="B120" s="19" t="inlineStr">
        <is>
          <t>Siembra y llenada de bolsas vivero</t>
        </is>
      </c>
      <c r="C120" s="19" t="inlineStr">
        <is>
          <t>hora</t>
        </is>
      </c>
      <c r="D120" s="19" t="n"/>
      <c r="E120" s="19" t="n">
        <v>124</v>
      </c>
    </row>
    <row r="121">
      <c r="A121" s="19" t="n">
        <v>125</v>
      </c>
      <c r="B121" s="19" t="inlineStr">
        <is>
          <t>Coordinador Palmawa</t>
        </is>
      </c>
      <c r="C121" s="19" t="inlineStr">
        <is>
          <t>hora</t>
        </is>
      </c>
      <c r="D121" s="19" t="n"/>
      <c r="E121" s="19" t="n">
        <v>125</v>
      </c>
    </row>
    <row r="122">
      <c r="A122" s="19" t="n">
        <v>126</v>
      </c>
      <c r="B122" s="19" t="inlineStr">
        <is>
          <t>Pintura</t>
        </is>
      </c>
      <c r="C122" s="19" t="inlineStr">
        <is>
          <t>hora</t>
        </is>
      </c>
      <c r="D122" s="19" t="n"/>
      <c r="E122" s="19" t="n">
        <v>126</v>
      </c>
    </row>
    <row r="123">
      <c r="A123" s="19" t="n">
        <v>127</v>
      </c>
      <c r="B123" s="19" t="inlineStr">
        <is>
          <t>Limpia con guadaña El Refugio por hora</t>
        </is>
      </c>
      <c r="C123" s="19" t="inlineStr">
        <is>
          <t>hora</t>
        </is>
      </c>
      <c r="D123" s="19" t="n"/>
      <c r="E123" s="19" t="n">
        <v>127</v>
      </c>
    </row>
    <row r="124">
      <c r="A124" s="19" t="n">
        <v>128</v>
      </c>
      <c r="B124" s="19" t="inlineStr">
        <is>
          <t>Realce El Refugio</t>
        </is>
      </c>
      <c r="C124" s="19" t="inlineStr">
        <is>
          <t>hora</t>
        </is>
      </c>
      <c r="D124" s="19" t="n"/>
      <c r="E124" s="19" t="n">
        <v>128</v>
      </c>
    </row>
    <row r="125">
      <c r="A125" s="19" t="n">
        <v>129</v>
      </c>
      <c r="B125" s="19" t="inlineStr">
        <is>
          <t>Desguasque El Refugio por hora</t>
        </is>
      </c>
      <c r="C125" s="19" t="inlineStr">
        <is>
          <t>hora</t>
        </is>
      </c>
      <c r="D125" s="19" t="n"/>
      <c r="E125" s="19" t="n">
        <v>129</v>
      </c>
    </row>
    <row r="126">
      <c r="A126" s="19" t="n">
        <v>130</v>
      </c>
      <c r="B126" s="19" t="inlineStr">
        <is>
          <t>Limpia de linderos al dia</t>
        </is>
      </c>
      <c r="C126" s="19" t="inlineStr">
        <is>
          <t>hora</t>
        </is>
      </c>
      <c r="D126" s="19" t="n"/>
      <c r="E126" s="19" t="n">
        <v>130</v>
      </c>
    </row>
    <row r="127">
      <c r="A127" s="19" t="n">
        <v>131</v>
      </c>
      <c r="B127" s="19" t="inlineStr">
        <is>
          <t>Desarme de vivero</t>
        </is>
      </c>
      <c r="C127" s="19" t="inlineStr">
        <is>
          <t>hora</t>
        </is>
      </c>
      <c r="D127" s="19" t="n"/>
      <c r="E127" s="19" t="n">
        <v>131</v>
      </c>
    </row>
    <row r="128">
      <c r="A128" s="19" t="n">
        <v>132</v>
      </c>
      <c r="B128" s="19" t="inlineStr">
        <is>
          <t>Hechura de cuneta Elizabeth</t>
        </is>
      </c>
      <c r="C128" s="19" t="inlineStr">
        <is>
          <t>hora</t>
        </is>
      </c>
      <c r="D128" s="19" t="n"/>
      <c r="E128" s="19" t="n">
        <v>132</v>
      </c>
    </row>
    <row r="129">
      <c r="A129" s="19" t="n">
        <v>133</v>
      </c>
      <c r="B129" s="19" t="inlineStr">
        <is>
          <t>Chapia de canal por hora Elizabeth</t>
        </is>
      </c>
      <c r="C129" s="19" t="inlineStr">
        <is>
          <t>hora</t>
        </is>
      </c>
      <c r="D129" s="19" t="n"/>
      <c r="E129" s="19" t="n">
        <v>133</v>
      </c>
    </row>
    <row r="130">
      <c r="A130" s="19" t="n">
        <v>134</v>
      </c>
      <c r="B130" s="19" t="inlineStr">
        <is>
          <t>Sacada de malla</t>
        </is>
      </c>
      <c r="C130" s="19" t="inlineStr">
        <is>
          <t>hora</t>
        </is>
      </c>
      <c r="D130" s="19" t="n"/>
      <c r="E130" s="19" t="n">
        <v>134</v>
      </c>
    </row>
    <row r="131">
      <c r="A131" s="19" t="n">
        <v>135</v>
      </c>
      <c r="B131" s="19" t="inlineStr">
        <is>
          <t>Hechura de cunetas El Refugio</t>
        </is>
      </c>
      <c r="C131" s="19" t="inlineStr">
        <is>
          <t>hora</t>
        </is>
      </c>
      <c r="D131" s="19" t="n"/>
      <c r="E131" s="19" t="n">
        <v>135</v>
      </c>
    </row>
    <row r="132">
      <c r="A132" s="19" t="n">
        <v>136</v>
      </c>
      <c r="B132" s="19" t="inlineStr">
        <is>
          <t>Aplicacion de fertilizante Elizabeth</t>
        </is>
      </c>
      <c r="C132" s="19" t="inlineStr">
        <is>
          <t>bulto</t>
        </is>
      </c>
      <c r="D132" s="19" t="n"/>
      <c r="E132" s="19" t="n">
        <v>136</v>
      </c>
    </row>
    <row r="133">
      <c r="A133" s="19" t="n">
        <v>137</v>
      </c>
      <c r="B133" s="19" t="inlineStr">
        <is>
          <t>Aplicacion foliar Elizabeth</t>
        </is>
      </c>
      <c r="C133" s="19" t="inlineStr">
        <is>
          <t>hora</t>
        </is>
      </c>
      <c r="D133" s="19" t="n"/>
      <c r="E133" s="19" t="n">
        <v>137</v>
      </c>
    </row>
    <row r="134">
      <c r="A134" s="19" t="n">
        <v>138</v>
      </c>
      <c r="B134" s="19" t="inlineStr">
        <is>
          <t>Aplicacion de fertilizante Elizabeth por hora</t>
        </is>
      </c>
      <c r="C134" s="19" t="inlineStr">
        <is>
          <t>hora</t>
        </is>
      </c>
      <c r="D134" s="19" t="n"/>
      <c r="E134" s="19" t="n">
        <v>138</v>
      </c>
    </row>
    <row r="135">
      <c r="A135" s="19" t="n">
        <v>139</v>
      </c>
      <c r="B135" s="19" t="inlineStr">
        <is>
          <t>Despunte de sigatoka</t>
        </is>
      </c>
      <c r="C135" s="19" t="inlineStr">
        <is>
          <t>hora</t>
        </is>
      </c>
      <c r="D135" s="19" t="n"/>
      <c r="E135" s="19" t="n">
        <v>139</v>
      </c>
    </row>
    <row r="136">
      <c r="A136" s="19" t="n">
        <v>140</v>
      </c>
      <c r="B136" s="19" t="inlineStr">
        <is>
          <t>Arreglo de pase cola</t>
        </is>
      </c>
      <c r="C136" s="19" t="inlineStr">
        <is>
          <t>hora</t>
        </is>
      </c>
      <c r="D136" s="19" t="n"/>
      <c r="E136" s="19" t="n">
        <v>140</v>
      </c>
    </row>
    <row r="137">
      <c r="A137" s="19" t="n">
        <v>141</v>
      </c>
      <c r="B137" s="19" t="inlineStr">
        <is>
          <t>Mantenimiento de reservorio</t>
        </is>
      </c>
      <c r="C137" s="19" t="inlineStr">
        <is>
          <t>hora</t>
        </is>
      </c>
      <c r="D137" s="19" t="n"/>
      <c r="E137" s="19" t="n">
        <v>141</v>
      </c>
    </row>
    <row r="138">
      <c r="A138" s="19" t="n">
        <v>142</v>
      </c>
      <c r="B138" s="19" t="inlineStr">
        <is>
          <t>Limpia de cheque</t>
        </is>
      </c>
      <c r="C138" s="19" t="inlineStr">
        <is>
          <t>hora</t>
        </is>
      </c>
      <c r="D138" s="19" t="n"/>
      <c r="E138" s="19" t="n">
        <v>142</v>
      </c>
    </row>
    <row r="139">
      <c r="A139" s="19" t="n">
        <v>143</v>
      </c>
      <c r="B139" s="19" t="inlineStr">
        <is>
          <t>Limpia de orilla de canal</t>
        </is>
      </c>
      <c r="C139" s="19" t="inlineStr">
        <is>
          <t>hora</t>
        </is>
      </c>
      <c r="D139" s="19" t="n"/>
      <c r="E139" s="19" t="n">
        <v>143</v>
      </c>
    </row>
    <row r="140">
      <c r="A140" s="19" t="n">
        <v>144</v>
      </c>
      <c r="B140" s="19" t="inlineStr">
        <is>
          <t>Precalibracion dominical</t>
        </is>
      </c>
      <c r="C140" s="19" t="inlineStr">
        <is>
          <t>hora</t>
        </is>
      </c>
      <c r="D140" s="19" t="n"/>
      <c r="E140" s="19" t="n">
        <v>144</v>
      </c>
    </row>
    <row r="141">
      <c r="A141" s="19" t="n">
        <v>145</v>
      </c>
      <c r="B141" s="19" t="inlineStr">
        <is>
          <t>Permiso por examenes de ingreso</t>
        </is>
      </c>
      <c r="C141" s="19" t="inlineStr">
        <is>
          <t>hora</t>
        </is>
      </c>
      <c r="D141" s="19" t="n"/>
      <c r="E141" s="19" t="n">
        <v>145</v>
      </c>
    </row>
    <row r="142">
      <c r="A142" s="19" t="n">
        <v>146</v>
      </c>
      <c r="B142" s="19" t="inlineStr">
        <is>
          <t>Limpia con guadaña El Refugio</t>
        </is>
      </c>
      <c r="C142" s="19" t="inlineStr">
        <is>
          <t>hectarea</t>
        </is>
      </c>
      <c r="D142" s="19" t="n"/>
      <c r="E142" s="19" t="n">
        <v>146</v>
      </c>
    </row>
    <row r="143">
      <c r="A143" s="19" t="n">
        <v>147</v>
      </c>
      <c r="B143" s="19" t="inlineStr">
        <is>
          <t>Aplicacion de abono El Refugio</t>
        </is>
      </c>
      <c r="C143" s="19" t="inlineStr">
        <is>
          <t>bulto</t>
        </is>
      </c>
      <c r="D143" s="19" t="n"/>
      <c r="E143" s="19" t="n">
        <v>147</v>
      </c>
    </row>
    <row r="144">
      <c r="A144" s="19" t="n">
        <v>148</v>
      </c>
      <c r="B144" s="19" t="inlineStr">
        <is>
          <t>Arreglo de porton</t>
        </is>
      </c>
      <c r="C144" s="19" t="inlineStr">
        <is>
          <t>hora</t>
        </is>
      </c>
      <c r="D144" s="19" t="n"/>
      <c r="E144" s="19" t="n">
        <v>148</v>
      </c>
    </row>
    <row r="145">
      <c r="A145" s="19" t="n">
        <v>149</v>
      </c>
      <c r="B145" s="19" t="inlineStr">
        <is>
          <t>Escolta</t>
        </is>
      </c>
      <c r="C145" s="19" t="inlineStr">
        <is>
          <t>dia</t>
        </is>
      </c>
      <c r="D145" s="19" t="n"/>
      <c r="E145" s="19" t="n">
        <v>149</v>
      </c>
    </row>
    <row r="146">
      <c r="A146" s="19" t="n">
        <v>150</v>
      </c>
      <c r="B146" s="19" t="inlineStr">
        <is>
          <t>Vacaciones</t>
        </is>
      </c>
      <c r="C146" s="19" t="inlineStr">
        <is>
          <t>dia</t>
        </is>
      </c>
      <c r="D146" s="19" t="n"/>
      <c r="E146" s="19" t="n">
        <v>150</v>
      </c>
    </row>
    <row r="147">
      <c r="A147" s="19" t="n">
        <v>151</v>
      </c>
      <c r="B147" s="19" t="inlineStr">
        <is>
          <t>Incapacidad general</t>
        </is>
      </c>
      <c r="C147" s="19" t="inlineStr">
        <is>
          <t>hora</t>
        </is>
      </c>
      <c r="D147" s="19" t="n"/>
      <c r="E147" s="19" t="n">
        <v>151</v>
      </c>
    </row>
    <row r="148">
      <c r="A148" s="19" t="n">
        <v>152</v>
      </c>
      <c r="B148" s="19" t="inlineStr">
        <is>
          <t>Incapacidad por calamidad domestica</t>
        </is>
      </c>
      <c r="C148" s="19" t="inlineStr">
        <is>
          <t>dia</t>
        </is>
      </c>
      <c r="D148" s="19" t="n"/>
      <c r="E148" s="19" t="n">
        <v>152</v>
      </c>
    </row>
    <row r="149">
      <c r="A149" s="19" t="n">
        <v>153</v>
      </c>
      <c r="B149" s="19" t="inlineStr">
        <is>
          <t>Corte de bambu</t>
        </is>
      </c>
      <c r="C149" s="19" t="inlineStr">
        <is>
          <t>hora</t>
        </is>
      </c>
      <c r="D149" s="19" t="n"/>
      <c r="E149" s="19" t="n">
        <v>153</v>
      </c>
    </row>
    <row r="150">
      <c r="A150" s="19" t="n">
        <v>154</v>
      </c>
      <c r="B150" s="19" t="inlineStr">
        <is>
          <t>Arada de tierra</t>
        </is>
      </c>
      <c r="C150" s="19" t="inlineStr">
        <is>
          <t>hora</t>
        </is>
      </c>
      <c r="D150" s="19" t="n"/>
      <c r="E150" s="19" t="n">
        <v>154</v>
      </c>
    </row>
    <row r="151">
      <c r="A151" s="19" t="n">
        <v>155</v>
      </c>
      <c r="B151" s="19" t="inlineStr">
        <is>
          <t>Conteo de poblacion</t>
        </is>
      </c>
      <c r="C151" s="19" t="inlineStr">
        <is>
          <t>hora</t>
        </is>
      </c>
      <c r="D151" s="19" t="n"/>
      <c r="E151" s="19" t="n">
        <v>155</v>
      </c>
    </row>
    <row r="152">
      <c r="A152" s="19" t="n">
        <v>156</v>
      </c>
      <c r="B152" s="19" t="inlineStr">
        <is>
          <t>Aseo de patio</t>
        </is>
      </c>
      <c r="C152" s="19" t="inlineStr">
        <is>
          <t>hora</t>
        </is>
      </c>
      <c r="D152" s="19" t="n"/>
      <c r="E152" s="19" t="n">
        <v>156</v>
      </c>
    </row>
    <row r="153">
      <c r="A153" s="19" t="n">
        <v>157</v>
      </c>
      <c r="B153" s="19" t="inlineStr">
        <is>
          <t>Postura de puente</t>
        </is>
      </c>
      <c r="C153" s="19" t="inlineStr">
        <is>
          <t>hora</t>
        </is>
      </c>
      <c r="D153" s="19" t="n"/>
      <c r="E153" s="19" t="n">
        <v>157</v>
      </c>
    </row>
    <row r="154">
      <c r="A154" s="19" t="n">
        <v>158</v>
      </c>
      <c r="B154" s="19" t="inlineStr">
        <is>
          <t>Vivero</t>
        </is>
      </c>
      <c r="C154" s="19" t="inlineStr">
        <is>
          <t>hora</t>
        </is>
      </c>
      <c r="D154" s="19" t="n"/>
      <c r="E154" s="19" t="n">
        <v>158</v>
      </c>
    </row>
    <row r="155">
      <c r="A155" s="19" t="n">
        <v>159</v>
      </c>
      <c r="B155" s="19" t="inlineStr">
        <is>
          <t>Limpia de sequia</t>
        </is>
      </c>
      <c r="C155" s="19" t="inlineStr">
        <is>
          <t>mts</t>
        </is>
      </c>
      <c r="D155" s="19" t="n"/>
      <c r="E155" s="19" t="n">
        <v>159</v>
      </c>
    </row>
    <row r="156">
      <c r="A156" s="19" t="n">
        <v>160</v>
      </c>
      <c r="B156" s="19" t="inlineStr">
        <is>
          <t>Aseo general</t>
        </is>
      </c>
      <c r="C156" s="19" t="inlineStr">
        <is>
          <t>hora</t>
        </is>
      </c>
      <c r="D156" s="19" t="n"/>
      <c r="E156" s="19" t="n">
        <v>160</v>
      </c>
    </row>
    <row r="157">
      <c r="A157" s="19" t="n">
        <v>161</v>
      </c>
      <c r="B157" s="19" t="inlineStr">
        <is>
          <t>Engrase de cable via</t>
        </is>
      </c>
      <c r="C157" s="19" t="inlineStr">
        <is>
          <t>hora</t>
        </is>
      </c>
      <c r="D157" s="19" t="n"/>
      <c r="E157" s="19" t="n">
        <v>161</v>
      </c>
    </row>
    <row r="158">
      <c r="A158" s="19" t="n">
        <v>162</v>
      </c>
      <c r="B158" s="19" t="inlineStr">
        <is>
          <t>Administrador finca</t>
        </is>
      </c>
      <c r="C158" s="19" t="inlineStr">
        <is>
          <t>hora</t>
        </is>
      </c>
      <c r="D158" s="19" t="n"/>
      <c r="E158" s="19" t="n">
        <v>162</v>
      </c>
    </row>
    <row r="159">
      <c r="A159" s="19" t="n">
        <v>163</v>
      </c>
      <c r="B159" s="19" t="inlineStr">
        <is>
          <t>Mantenimiento de cerca</t>
        </is>
      </c>
      <c r="C159" s="19" t="inlineStr">
        <is>
          <t>hora</t>
        </is>
      </c>
      <c r="D159" s="19" t="n"/>
      <c r="E159" s="19" t="n">
        <v>163</v>
      </c>
    </row>
    <row r="160">
      <c r="A160" s="19" t="n">
        <v>164</v>
      </c>
      <c r="B160" s="19" t="inlineStr">
        <is>
          <t>Postura de periodico</t>
        </is>
      </c>
      <c r="C160" s="19" t="inlineStr">
        <is>
          <t>hora</t>
        </is>
      </c>
      <c r="D160" s="19" t="n"/>
      <c r="E160" s="19" t="n">
        <v>164</v>
      </c>
    </row>
    <row r="161">
      <c r="A161" s="19" t="n">
        <v>166</v>
      </c>
      <c r="B161" s="19" t="inlineStr">
        <is>
          <t>Cargue y descargue de carton</t>
        </is>
      </c>
      <c r="C161" s="19" t="inlineStr">
        <is>
          <t>unidad</t>
        </is>
      </c>
      <c r="D161" s="19" t="n"/>
      <c r="E161" s="19" t="n">
        <v>166</v>
      </c>
    </row>
    <row r="162">
      <c r="A162" s="19" t="n">
        <v>167</v>
      </c>
      <c r="B162" s="19" t="inlineStr">
        <is>
          <t>Reciclaje de cintas</t>
        </is>
      </c>
      <c r="C162" s="19" t="inlineStr">
        <is>
          <t>hora</t>
        </is>
      </c>
      <c r="D162" s="19" t="n"/>
      <c r="E162" s="19" t="n">
        <v>167</v>
      </c>
    </row>
    <row r="163">
      <c r="A163" s="19" t="n">
        <v>168</v>
      </c>
      <c r="B163" s="19" t="inlineStr">
        <is>
          <t>Montar y bajar tarimas</t>
        </is>
      </c>
      <c r="C163" s="19" t="inlineStr">
        <is>
          <t>hora</t>
        </is>
      </c>
      <c r="D163" s="19" t="n"/>
      <c r="E163" s="19" t="n">
        <v>168</v>
      </c>
    </row>
    <row r="164">
      <c r="A164" s="19" t="n">
        <v>169</v>
      </c>
      <c r="B164" s="19" t="inlineStr">
        <is>
          <t>Hacer cajas</t>
        </is>
      </c>
      <c r="C164" s="19" t="inlineStr">
        <is>
          <t>caja</t>
        </is>
      </c>
      <c r="D164" s="19" t="n"/>
      <c r="E164" s="19" t="n">
        <v>169</v>
      </c>
    </row>
    <row r="165">
      <c r="A165" s="19" t="n">
        <v>170</v>
      </c>
      <c r="B165" s="19" t="inlineStr">
        <is>
          <t>Aplicacion de abono organico</t>
        </is>
      </c>
      <c r="C165" s="19" t="inlineStr">
        <is>
          <t>unidad</t>
        </is>
      </c>
      <c r="D165" s="19" t="n"/>
      <c r="E165" s="19" t="n">
        <v>170</v>
      </c>
    </row>
    <row r="166">
      <c r="A166" s="19" t="n">
        <v>171</v>
      </c>
      <c r="B166" s="19" t="inlineStr">
        <is>
          <t>Aplicacion de abono organico al dia</t>
        </is>
      </c>
      <c r="C166" s="19" t="inlineStr">
        <is>
          <t>hora</t>
        </is>
      </c>
      <c r="D166" s="19" t="n"/>
      <c r="E166" s="19" t="n">
        <v>171</v>
      </c>
    </row>
    <row r="167">
      <c r="A167" s="19" t="n">
        <v>172</v>
      </c>
      <c r="B167" s="19" t="inlineStr">
        <is>
          <t>Acarreo de plastico</t>
        </is>
      </c>
      <c r="C167" s="19" t="inlineStr">
        <is>
          <t>hora</t>
        </is>
      </c>
      <c r="D167" s="19" t="n"/>
      <c r="E167" s="19" t="n">
        <v>172</v>
      </c>
    </row>
    <row r="168">
      <c r="A168" s="19" t="n">
        <v>173</v>
      </c>
      <c r="B168" s="19" t="inlineStr">
        <is>
          <t>Cargue de plastico</t>
        </is>
      </c>
      <c r="C168" s="19" t="inlineStr">
        <is>
          <t>hora</t>
        </is>
      </c>
      <c r="D168" s="19" t="n"/>
      <c r="E168" s="19" t="n">
        <v>173</v>
      </c>
    </row>
    <row r="169">
      <c r="A169" s="19" t="n">
        <v>174</v>
      </c>
      <c r="B169" s="19" t="inlineStr">
        <is>
          <t>Recoleccion de yumbolon</t>
        </is>
      </c>
      <c r="C169" s="19" t="inlineStr">
        <is>
          <t>hora</t>
        </is>
      </c>
      <c r="D169" s="19" t="n"/>
      <c r="E169" s="19" t="n">
        <v>174</v>
      </c>
    </row>
    <row r="170">
      <c r="A170" s="19" t="n">
        <v>175</v>
      </c>
      <c r="B170" s="19" t="inlineStr">
        <is>
          <t>Elaboracion tulas yumbolon</t>
        </is>
      </c>
      <c r="C170" s="19" t="inlineStr">
        <is>
          <t>hora</t>
        </is>
      </c>
      <c r="D170" s="19" t="n"/>
      <c r="E170" s="19" t="n">
        <v>175</v>
      </c>
    </row>
    <row r="171">
      <c r="A171" s="19" t="n">
        <v>176</v>
      </c>
      <c r="B171" s="19" t="inlineStr">
        <is>
          <t>Limpia a machete festivo</t>
        </is>
      </c>
      <c r="C171" s="19" t="inlineStr">
        <is>
          <t>hora</t>
        </is>
      </c>
      <c r="D171" s="19" t="n"/>
      <c r="E171" s="19" t="n">
        <v>176</v>
      </c>
    </row>
    <row r="172">
      <c r="A172" s="19" t="n">
        <v>177</v>
      </c>
      <c r="B172" s="19" t="inlineStr">
        <is>
          <t>Aplicacion foliar festivo</t>
        </is>
      </c>
      <c r="C172" s="19" t="inlineStr">
        <is>
          <t>hora</t>
        </is>
      </c>
      <c r="D172" s="19" t="n"/>
      <c r="E172" s="19" t="n">
        <v>177</v>
      </c>
    </row>
    <row r="173">
      <c r="A173" s="19" t="n">
        <v>178</v>
      </c>
      <c r="B173" s="19" t="inlineStr">
        <is>
          <t>Desmache al dia refugio</t>
        </is>
      </c>
      <c r="C173" s="19" t="inlineStr">
        <is>
          <t>hora</t>
        </is>
      </c>
      <c r="D173" s="19" t="n"/>
      <c r="E173" s="19" t="n">
        <v>178</v>
      </c>
    </row>
    <row r="174">
      <c r="A174" s="19" t="n">
        <v>179</v>
      </c>
      <c r="B174" s="19" t="inlineStr">
        <is>
          <t>Amarre al dia festivo</t>
        </is>
      </c>
      <c r="C174" s="19" t="inlineStr">
        <is>
          <t>hora</t>
        </is>
      </c>
      <c r="D174" s="19" t="n"/>
      <c r="E174" s="19" t="n">
        <v>179</v>
      </c>
    </row>
    <row r="175">
      <c r="A175" s="19" t="n">
        <v>180</v>
      </c>
      <c r="B175" s="19" t="inlineStr">
        <is>
          <t>Horometro retroexcavadora</t>
        </is>
      </c>
      <c r="C175" s="19" t="inlineStr">
        <is>
          <t>hora</t>
        </is>
      </c>
      <c r="D175" s="19" t="n"/>
      <c r="E175" s="19" t="n">
        <v>180</v>
      </c>
    </row>
    <row r="176">
      <c r="A176" s="19" t="n">
        <v>181</v>
      </c>
      <c r="B176" s="19" t="inlineStr">
        <is>
          <t>Auxilio de vivienda</t>
        </is>
      </c>
      <c r="C176" s="19" t="inlineStr">
        <is>
          <t>dia</t>
        </is>
      </c>
      <c r="D176" s="19" t="n"/>
      <c r="E176" s="19" t="n">
        <v>181</v>
      </c>
    </row>
    <row r="177">
      <c r="A177" s="19" t="n">
        <v>182</v>
      </c>
      <c r="B177" s="19" t="inlineStr">
        <is>
          <t>Descargue de abono</t>
        </is>
      </c>
      <c r="C177" s="19" t="inlineStr">
        <is>
          <t>tonelada</t>
        </is>
      </c>
      <c r="D177" s="19" t="n"/>
      <c r="E177" s="19" t="n">
        <v>182</v>
      </c>
    </row>
    <row r="178">
      <c r="A178" s="19" t="n">
        <v>183</v>
      </c>
      <c r="B178" s="19" t="inlineStr">
        <is>
          <t>Permiso por cita medica</t>
        </is>
      </c>
      <c r="C178" s="19" t="inlineStr">
        <is>
          <t>hora</t>
        </is>
      </c>
      <c r="D178" s="19" t="n"/>
      <c r="E178" s="19" t="n">
        <v>183</v>
      </c>
    </row>
    <row r="179">
      <c r="A179" s="19" t="n">
        <v>184</v>
      </c>
      <c r="B179" s="19" t="inlineStr">
        <is>
          <t>Permiso por terapias</t>
        </is>
      </c>
      <c r="C179" s="19" t="inlineStr">
        <is>
          <t>hora</t>
        </is>
      </c>
      <c r="D179" s="19" t="n"/>
      <c r="E179" s="19" t="n">
        <v>184</v>
      </c>
    </row>
    <row r="180">
      <c r="A180" s="19" t="n">
        <v>185</v>
      </c>
      <c r="B180" s="19" t="inlineStr">
        <is>
          <t>Deshoje festivo</t>
        </is>
      </c>
      <c r="C180" s="19" t="inlineStr">
        <is>
          <t>hectarea</t>
        </is>
      </c>
      <c r="D180" s="19" t="n"/>
      <c r="E180" s="19" t="n">
        <v>185</v>
      </c>
    </row>
    <row r="181">
      <c r="A181" s="19" t="n">
        <v>189</v>
      </c>
      <c r="B181" s="19" t="inlineStr">
        <is>
          <t>Cablero</t>
        </is>
      </c>
      <c r="C181" s="19" t="inlineStr">
        <is>
          <t>hora</t>
        </is>
      </c>
      <c r="D181" s="19" t="n"/>
      <c r="E181" s="19" t="n">
        <v>189</v>
      </c>
    </row>
    <row r="182">
      <c r="A182" s="19" t="n">
        <v>190</v>
      </c>
      <c r="B182" s="19" t="inlineStr">
        <is>
          <t>Quitada de cerca</t>
        </is>
      </c>
      <c r="C182" s="19" t="inlineStr">
        <is>
          <t>hora</t>
        </is>
      </c>
      <c r="D182" s="19" t="n"/>
      <c r="E182" s="19" t="n">
        <v>190</v>
      </c>
    </row>
    <row r="183">
      <c r="A183" s="19" t="n">
        <v>191</v>
      </c>
      <c r="B183" s="19" t="inlineStr">
        <is>
          <t>Limpia de malla</t>
        </is>
      </c>
      <c r="C183" s="19" t="inlineStr">
        <is>
          <t>hora</t>
        </is>
      </c>
      <c r="D183" s="19" t="n"/>
      <c r="E183" s="19" t="n">
        <v>191</v>
      </c>
    </row>
    <row r="184">
      <c r="A184" s="19" t="n">
        <v>192</v>
      </c>
      <c r="B184" s="19" t="inlineStr">
        <is>
          <t>Elaboracion de vivero</t>
        </is>
      </c>
      <c r="C184" s="19" t="inlineStr">
        <is>
          <t>hora</t>
        </is>
      </c>
      <c r="D184" s="19" t="n"/>
      <c r="E184" s="19" t="n">
        <v>192</v>
      </c>
    </row>
    <row r="185">
      <c r="A185" s="19" t="n">
        <v>193</v>
      </c>
      <c r="B185" s="19" t="inlineStr">
        <is>
          <t>Agricultura El Refugio</t>
        </is>
      </c>
      <c r="C185" s="19" t="inlineStr">
        <is>
          <t>hora</t>
        </is>
      </c>
      <c r="D185" s="19" t="n"/>
      <c r="E185" s="19" t="n">
        <v>193</v>
      </c>
    </row>
    <row r="186">
      <c r="A186" s="19" t="n">
        <v>194</v>
      </c>
      <c r="B186" s="19" t="inlineStr">
        <is>
          <t>Desmache con sable El Refugio</t>
        </is>
      </c>
      <c r="C186" s="19" t="inlineStr">
        <is>
          <t>hectarea</t>
        </is>
      </c>
      <c r="D186" s="19" t="n"/>
      <c r="E186" s="19" t="n">
        <v>194</v>
      </c>
    </row>
    <row r="187">
      <c r="A187" s="19" t="n">
        <v>195</v>
      </c>
      <c r="B187" s="19" t="inlineStr">
        <is>
          <t>Colocacion de yumbolon El Refugio</t>
        </is>
      </c>
      <c r="C187" s="19" t="inlineStr">
        <is>
          <t>unidad</t>
        </is>
      </c>
      <c r="D187" s="19" t="n"/>
      <c r="E187" s="19" t="n">
        <v>195</v>
      </c>
    </row>
    <row r="188">
      <c r="A188" s="19" t="n">
        <v>196</v>
      </c>
      <c r="B188" s="19" t="inlineStr">
        <is>
          <t>Corte promedio El Refugio</t>
        </is>
      </c>
      <c r="C188" s="19" t="inlineStr">
        <is>
          <t>unidad</t>
        </is>
      </c>
      <c r="D188" s="19" t="n"/>
      <c r="E188" s="19" t="n">
        <v>196</v>
      </c>
    </row>
    <row r="189">
      <c r="A189" s="19" t="n">
        <v>197</v>
      </c>
      <c r="B189" s="19" t="inlineStr">
        <is>
          <t>Parcela al dia El Refugio</t>
        </is>
      </c>
      <c r="C189" s="19" t="inlineStr">
        <is>
          <t>hora</t>
        </is>
      </c>
      <c r="D189" s="19" t="n"/>
      <c r="E189" s="19" t="n">
        <v>197</v>
      </c>
    </row>
    <row r="190">
      <c r="A190" s="19" t="n">
        <v>198</v>
      </c>
      <c r="B190" s="19" t="inlineStr">
        <is>
          <t>Repique de hojas</t>
        </is>
      </c>
      <c r="C190" s="19" t="inlineStr">
        <is>
          <t>hora</t>
        </is>
      </c>
      <c r="D190" s="19" t="n"/>
      <c r="E190" s="19" t="n">
        <v>198</v>
      </c>
    </row>
    <row r="191">
      <c r="A191" s="19" t="n">
        <v>199</v>
      </c>
      <c r="B191" s="19" t="inlineStr">
        <is>
          <t>Oficios varios h.e.d.</t>
        </is>
      </c>
      <c r="C191" s="19" t="inlineStr">
        <is>
          <t>hora</t>
        </is>
      </c>
      <c r="D191" s="19" t="n"/>
      <c r="E191" s="19" t="n">
        <v>199</v>
      </c>
    </row>
    <row r="192">
      <c r="A192" s="19" t="n">
        <v>200</v>
      </c>
      <c r="B192" s="19" t="inlineStr">
        <is>
          <t>Cesantias e intereses ocasional</t>
        </is>
      </c>
      <c r="C192" s="19" t="inlineStr">
        <is>
          <t>prestacion</t>
        </is>
      </c>
      <c r="D192" s="19" t="n"/>
      <c r="E192" s="19" t="n">
        <v>200</v>
      </c>
    </row>
    <row r="193">
      <c r="A193" s="19" t="n">
        <v>201</v>
      </c>
      <c r="B193" s="19" t="inlineStr">
        <is>
          <t>Arreglo de derrumbe</t>
        </is>
      </c>
      <c r="C193" s="19" t="inlineStr">
        <is>
          <t>hora</t>
        </is>
      </c>
      <c r="D193" s="19" t="n"/>
      <c r="E193" s="19" t="n">
        <v>201</v>
      </c>
    </row>
    <row r="194">
      <c r="A194" s="19" t="n">
        <v>203</v>
      </c>
      <c r="B194" s="19" t="inlineStr">
        <is>
          <t>Mantenimiento canal de riego</t>
        </is>
      </c>
      <c r="C194" s="19" t="inlineStr">
        <is>
          <t>hora</t>
        </is>
      </c>
      <c r="D194" s="19" t="n"/>
      <c r="E194" s="19" t="n">
        <v>203</v>
      </c>
    </row>
    <row r="195">
      <c r="A195" s="19" t="n">
        <v>204</v>
      </c>
      <c r="B195" s="19" t="inlineStr">
        <is>
          <t>Prima de servicios</t>
        </is>
      </c>
      <c r="C195" s="19" t="inlineStr">
        <is>
          <t>prestacion</t>
        </is>
      </c>
      <c r="D195" s="19" t="n"/>
      <c r="E195" s="19" t="n">
        <v>204</v>
      </c>
    </row>
    <row r="196">
      <c r="A196" s="19" t="n">
        <v>205</v>
      </c>
      <c r="B196" s="19" t="inlineStr">
        <is>
          <t>Resiembras</t>
        </is>
      </c>
      <c r="C196" s="19" t="inlineStr">
        <is>
          <t>hora</t>
        </is>
      </c>
      <c r="D196" s="19" t="n"/>
      <c r="E196" s="19" t="n">
        <v>205</v>
      </c>
    </row>
    <row r="197">
      <c r="A197" s="19" t="n">
        <v>206</v>
      </c>
      <c r="B197" s="19" t="inlineStr">
        <is>
          <t>Reparcheo herbicida</t>
        </is>
      </c>
      <c r="C197" s="19" t="inlineStr">
        <is>
          <t>hora</t>
        </is>
      </c>
      <c r="D197" s="19" t="n"/>
      <c r="E197" s="19" t="n">
        <v>206</v>
      </c>
    </row>
    <row r="198">
      <c r="A198" s="19" t="n">
        <v>207</v>
      </c>
      <c r="B198" s="19" t="inlineStr">
        <is>
          <t>Dominical promediado admon</t>
        </is>
      </c>
      <c r="C198" s="19" t="inlineStr">
        <is>
          <t>hora</t>
        </is>
      </c>
      <c r="D198" s="19" t="n"/>
      <c r="E198" s="19" t="n">
        <v>207</v>
      </c>
    </row>
    <row r="199">
      <c r="A199" s="19" t="n">
        <v>208</v>
      </c>
      <c r="B199" s="19" t="inlineStr">
        <is>
          <t>Festivo promediado admon</t>
        </is>
      </c>
      <c r="C199" s="19" t="inlineStr">
        <is>
          <t>hora</t>
        </is>
      </c>
      <c r="D199" s="19" t="n"/>
      <c r="E199" s="19" t="n">
        <v>208</v>
      </c>
    </row>
    <row r="200">
      <c r="A200" s="19" t="n">
        <v>209</v>
      </c>
      <c r="B200" s="19" t="inlineStr">
        <is>
          <t>Cesantias</t>
        </is>
      </c>
      <c r="C200" s="19" t="inlineStr">
        <is>
          <t>prestacion</t>
        </is>
      </c>
      <c r="D200" s="19" t="n"/>
      <c r="E200" s="19" t="n">
        <v>209</v>
      </c>
    </row>
    <row r="201">
      <c r="A201" s="19" t="n">
        <v>210</v>
      </c>
      <c r="B201" s="19" t="inlineStr">
        <is>
          <t>Interes  de cesantias</t>
        </is>
      </c>
      <c r="C201" s="19" t="inlineStr">
        <is>
          <t>prestacion</t>
        </is>
      </c>
      <c r="D201" s="19" t="n"/>
      <c r="E201" s="19" t="n">
        <v>210</v>
      </c>
    </row>
    <row r="202">
      <c r="A202" s="19" t="n">
        <v>211</v>
      </c>
      <c r="B202" s="19" t="inlineStr">
        <is>
          <t>Licencia de maternidad</t>
        </is>
      </c>
      <c r="C202" s="19" t="inlineStr">
        <is>
          <t>hora</t>
        </is>
      </c>
      <c r="D202" s="19" t="n"/>
      <c r="E202" s="19" t="n">
        <v>211</v>
      </c>
    </row>
    <row r="203">
      <c r="A203" s="19" t="n">
        <v>212</v>
      </c>
      <c r="B203" s="19" t="inlineStr">
        <is>
          <t>Hechura de sangria</t>
        </is>
      </c>
      <c r="C203" s="19" t="inlineStr">
        <is>
          <t>hora</t>
        </is>
      </c>
      <c r="D203" s="19" t="n"/>
      <c r="E203" s="19" t="n">
        <v>212</v>
      </c>
    </row>
    <row r="204">
      <c r="A204" s="19" t="n">
        <v>213</v>
      </c>
      <c r="B204" s="19" t="inlineStr">
        <is>
          <t>Hechura de estaca</t>
        </is>
      </c>
      <c r="C204" s="19" t="inlineStr">
        <is>
          <t>hora</t>
        </is>
      </c>
      <c r="D204" s="19" t="n"/>
      <c r="E204" s="19" t="n">
        <v>213</v>
      </c>
    </row>
    <row r="205">
      <c r="A205" s="19" t="n">
        <v>214</v>
      </c>
      <c r="B205" s="19" t="inlineStr">
        <is>
          <t>Aplicacion de zinc</t>
        </is>
      </c>
      <c r="C205" s="19" t="inlineStr">
        <is>
          <t>hora</t>
        </is>
      </c>
      <c r="D205" s="19" t="n"/>
      <c r="E205" s="19" t="n">
        <v>214</v>
      </c>
    </row>
    <row r="206">
      <c r="A206" s="19" t="n">
        <v>215</v>
      </c>
      <c r="B206" s="19" t="inlineStr">
        <is>
          <t>Menor valor pagado prd anterior</t>
        </is>
      </c>
      <c r="C206" s="19" t="inlineStr">
        <is>
          <t>unidad</t>
        </is>
      </c>
      <c r="D206" s="19" t="n"/>
      <c r="E206" s="19" t="n">
        <v>215</v>
      </c>
    </row>
    <row r="207">
      <c r="A207" s="19" t="n">
        <v>216</v>
      </c>
      <c r="B207" s="19" t="inlineStr">
        <is>
          <t>Corte caja integral Elizabeth</t>
        </is>
      </c>
      <c r="C207" s="19" t="inlineStr">
        <is>
          <t>unidad</t>
        </is>
      </c>
      <c r="D207" s="19" t="n"/>
      <c r="E207" s="19" t="n">
        <v>216</v>
      </c>
    </row>
    <row r="208">
      <c r="A208" s="19" t="n">
        <v>217</v>
      </c>
      <c r="B208" s="19" t="inlineStr">
        <is>
          <t>Administacion festivo</t>
        </is>
      </c>
      <c r="C208" s="19" t="inlineStr">
        <is>
          <t>hora</t>
        </is>
      </c>
      <c r="D208" s="19" t="n"/>
      <c r="E208" s="19" t="n">
        <v>217</v>
      </c>
    </row>
    <row r="209">
      <c r="A209" s="19" t="n">
        <v>218</v>
      </c>
      <c r="B209" s="19" t="inlineStr">
        <is>
          <t>Corte palma dominical</t>
        </is>
      </c>
      <c r="C209" s="19" t="inlineStr">
        <is>
          <t>kilo</t>
        </is>
      </c>
      <c r="D209" s="19" t="n"/>
      <c r="E209" s="19" t="n">
        <v>218</v>
      </c>
    </row>
    <row r="210">
      <c r="A210" s="19" t="n">
        <v>219</v>
      </c>
      <c r="B210" s="19" t="inlineStr">
        <is>
          <t>Cosecha palma</t>
        </is>
      </c>
      <c r="C210" s="19" t="inlineStr">
        <is>
          <t>tonelada</t>
        </is>
      </c>
      <c r="D210" s="19" t="n"/>
      <c r="E210" s="19" t="n">
        <v>219</v>
      </c>
    </row>
    <row r="211">
      <c r="A211" s="19" t="n">
        <v>220</v>
      </c>
      <c r="B211" s="19" t="inlineStr">
        <is>
          <t>Cambio de cinta</t>
        </is>
      </c>
      <c r="C211" s="19" t="inlineStr">
        <is>
          <t>dia</t>
        </is>
      </c>
      <c r="D211" s="19" t="n"/>
      <c r="E211" s="19" t="n">
        <v>220</v>
      </c>
    </row>
    <row r="212">
      <c r="A212" s="19" t="n">
        <v>221</v>
      </c>
      <c r="B212" s="19" t="inlineStr">
        <is>
          <t>Corte empacadora</t>
        </is>
      </c>
      <c r="C212" s="19" t="inlineStr">
        <is>
          <t>unidad</t>
        </is>
      </c>
      <c r="D212" s="19" t="n"/>
      <c r="E212" s="19" t="n">
        <v>221</v>
      </c>
    </row>
    <row r="213">
      <c r="A213" s="19" t="n">
        <v>222</v>
      </c>
      <c r="B213" s="19" t="inlineStr">
        <is>
          <t>Corte racimos</t>
        </is>
      </c>
      <c r="C213" s="19" t="inlineStr">
        <is>
          <t>racimo</t>
        </is>
      </c>
      <c r="D213" s="19" t="n"/>
      <c r="E213" s="19" t="n">
        <v>222</v>
      </c>
    </row>
    <row r="214">
      <c r="A214" s="19" t="n">
        <v>223</v>
      </c>
      <c r="B214" s="19" t="inlineStr">
        <is>
          <t>Corte palletizador</t>
        </is>
      </c>
      <c r="C214" s="19" t="inlineStr">
        <is>
          <t>unidad</t>
        </is>
      </c>
      <c r="D214" s="19" t="n"/>
      <c r="E214" s="19" t="n">
        <v>223</v>
      </c>
    </row>
    <row r="215">
      <c r="A215" s="19" t="n">
        <v>224</v>
      </c>
      <c r="B215" s="19" t="inlineStr">
        <is>
          <t>Corte inspector</t>
        </is>
      </c>
      <c r="C215" s="19" t="inlineStr">
        <is>
          <t>hora</t>
        </is>
      </c>
      <c r="D215" s="19" t="n"/>
      <c r="E215" s="19" t="n">
        <v>224</v>
      </c>
    </row>
    <row r="216">
      <c r="A216" s="19" t="n">
        <v>225</v>
      </c>
      <c r="B216" s="19" t="inlineStr">
        <is>
          <t>Corte evalua/calida</t>
        </is>
      </c>
      <c r="C216" s="19" t="inlineStr">
        <is>
          <t>dia</t>
        </is>
      </c>
      <c r="D216" s="19" t="n"/>
      <c r="E216" s="19" t="n">
        <v>225</v>
      </c>
    </row>
    <row r="217">
      <c r="A217" s="19" t="n">
        <v>226</v>
      </c>
      <c r="B217" s="19" t="inlineStr">
        <is>
          <t>Corte baja vastago</t>
        </is>
      </c>
      <c r="C217" s="19" t="inlineStr">
        <is>
          <t>dia</t>
        </is>
      </c>
      <c r="D217" s="19" t="n"/>
      <c r="E217" s="19" t="n">
        <v>226</v>
      </c>
    </row>
    <row r="218">
      <c r="A218" s="19" t="n">
        <v>227</v>
      </c>
      <c r="B218" s="19" t="inlineStr">
        <is>
          <t>Corte festi. empacadora</t>
        </is>
      </c>
      <c r="C218" s="19" t="inlineStr">
        <is>
          <t>caja</t>
        </is>
      </c>
      <c r="D218" s="19" t="n"/>
      <c r="E218" s="19" t="n">
        <v>227</v>
      </c>
    </row>
    <row r="219">
      <c r="A219" s="19" t="n">
        <v>228</v>
      </c>
      <c r="B219" s="19" t="inlineStr">
        <is>
          <t>Corte festi. racimos</t>
        </is>
      </c>
      <c r="C219" s="19" t="inlineStr">
        <is>
          <t>caja</t>
        </is>
      </c>
      <c r="D219" s="19" t="n"/>
      <c r="E219" s="19" t="n">
        <v>228</v>
      </c>
    </row>
    <row r="220">
      <c r="A220" s="19" t="n">
        <v>229</v>
      </c>
      <c r="B220" s="19" t="inlineStr">
        <is>
          <t>Corte festi. palletizador</t>
        </is>
      </c>
      <c r="C220" s="19" t="inlineStr">
        <is>
          <t>caja</t>
        </is>
      </c>
      <c r="D220" s="19" t="n"/>
      <c r="E220" s="19" t="n">
        <v>229</v>
      </c>
    </row>
    <row r="221">
      <c r="A221" s="19" t="n">
        <v>230</v>
      </c>
      <c r="B221" s="19" t="inlineStr">
        <is>
          <t>Corte festi. inspector</t>
        </is>
      </c>
      <c r="C221" s="19" t="inlineStr">
        <is>
          <t>dia</t>
        </is>
      </c>
      <c r="D221" s="19" t="n"/>
      <c r="E221" s="19" t="n">
        <v>230</v>
      </c>
    </row>
    <row r="222">
      <c r="A222" s="19" t="n">
        <v>231</v>
      </c>
      <c r="B222" s="19" t="inlineStr">
        <is>
          <t>Corte festi. evalua calidad</t>
        </is>
      </c>
      <c r="C222" s="19" t="inlineStr">
        <is>
          <t>dia</t>
        </is>
      </c>
      <c r="D222" s="19" t="n"/>
      <c r="E222" s="19" t="n">
        <v>231</v>
      </c>
    </row>
    <row r="223">
      <c r="A223" s="19" t="n">
        <v>232</v>
      </c>
      <c r="B223" s="19" t="inlineStr">
        <is>
          <t>Corte festi. baja vastago</t>
        </is>
      </c>
      <c r="C223" s="19" t="inlineStr">
        <is>
          <t>dia</t>
        </is>
      </c>
      <c r="D223" s="19" t="n"/>
      <c r="E223" s="19" t="n">
        <v>232</v>
      </c>
    </row>
    <row r="224">
      <c r="A224" s="19" t="n">
        <v>233</v>
      </c>
      <c r="B224" s="19" t="inlineStr">
        <is>
          <t>Corte apoyo corte</t>
        </is>
      </c>
      <c r="C224" s="19" t="inlineStr">
        <is>
          <t>dia</t>
        </is>
      </c>
      <c r="D224" s="19" t="n"/>
      <c r="E224" s="19" t="n">
        <v>233</v>
      </c>
    </row>
    <row r="225">
      <c r="A225" s="19" t="n">
        <v>234</v>
      </c>
      <c r="B225" s="19" t="inlineStr">
        <is>
          <t>Corte festi. apoyo corte</t>
        </is>
      </c>
      <c r="C225" s="19" t="inlineStr">
        <is>
          <t>dia</t>
        </is>
      </c>
      <c r="D225" s="19" t="n"/>
      <c r="E225" s="19" t="n">
        <v>234</v>
      </c>
    </row>
    <row r="226">
      <c r="A226" s="19" t="n">
        <v>235</v>
      </c>
      <c r="B226" s="19" t="inlineStr">
        <is>
          <t>Descargue de carton</t>
        </is>
      </c>
      <c r="C226" s="19" t="inlineStr">
        <is>
          <t>hora</t>
        </is>
      </c>
      <c r="D226" s="19" t="n"/>
      <c r="E226" s="19" t="n">
        <v>235</v>
      </c>
    </row>
    <row r="227">
      <c r="A227" s="19" t="n">
        <v>236</v>
      </c>
      <c r="B227" s="19" t="inlineStr">
        <is>
          <t>Corte promedio auxiliar al dia</t>
        </is>
      </c>
      <c r="C227" s="19" t="inlineStr">
        <is>
          <t>hora</t>
        </is>
      </c>
      <c r="D227" s="19" t="n"/>
      <c r="E227" s="19" t="n">
        <v>236</v>
      </c>
    </row>
    <row r="228">
      <c r="A228" s="19" t="n">
        <v>237</v>
      </c>
      <c r="B228" s="19" t="inlineStr">
        <is>
          <t>Clasificacion de reciclaje</t>
        </is>
      </c>
      <c r="C228" s="19" t="inlineStr">
        <is>
          <t>hora</t>
        </is>
      </c>
      <c r="D228" s="19" t="n"/>
      <c r="E228" s="19" t="n">
        <v>237</v>
      </c>
    </row>
    <row r="229">
      <c r="A229" s="19" t="n">
        <v>248</v>
      </c>
      <c r="B229" s="19" t="inlineStr">
        <is>
          <t>Aseo de piscina empacadora</t>
        </is>
      </c>
      <c r="C229" s="19" t="inlineStr">
        <is>
          <t>hora</t>
        </is>
      </c>
      <c r="D229" s="19" t="n"/>
      <c r="E229" s="19" t="n">
        <v>248</v>
      </c>
    </row>
    <row r="230">
      <c r="A230" s="19" t="n">
        <v>249</v>
      </c>
      <c r="B230" s="19" t="inlineStr">
        <is>
          <t>Mantenimiento de riego proyecto</t>
        </is>
      </c>
      <c r="C230" s="19" t="inlineStr">
        <is>
          <t>hora</t>
        </is>
      </c>
      <c r="D230" s="19" t="n"/>
      <c r="E230" s="19" t="n">
        <v>249</v>
      </c>
    </row>
    <row r="231">
      <c r="A231" s="19" t="n">
        <v>250</v>
      </c>
      <c r="B231" s="19" t="inlineStr">
        <is>
          <t>Ajuste de prima semestral</t>
        </is>
      </c>
      <c r="C231" s="19" t="inlineStr">
        <is>
          <t>prestacion</t>
        </is>
      </c>
      <c r="D231" s="19" t="n"/>
      <c r="E231" s="19" t="n">
        <v>250</v>
      </c>
    </row>
    <row r="232">
      <c r="A232" s="19" t="n">
        <v>251</v>
      </c>
      <c r="B232" s="19" t="inlineStr">
        <is>
          <t>Chapia de canal primario</t>
        </is>
      </c>
      <c r="C232" s="19" t="inlineStr">
        <is>
          <t>metro</t>
        </is>
      </c>
      <c r="D232" s="19" t="n"/>
      <c r="E232" s="19" t="n">
        <v>251</v>
      </c>
    </row>
    <row r="233">
      <c r="A233" s="19" t="n">
        <v>252</v>
      </c>
      <c r="B233" s="19" t="inlineStr">
        <is>
          <t>Bonificacion por cajas admon</t>
        </is>
      </c>
      <c r="C233" s="19" t="inlineStr">
        <is>
          <t>caja</t>
        </is>
      </c>
      <c r="D233" s="19" t="n"/>
      <c r="E233" s="19" t="n">
        <v>252</v>
      </c>
    </row>
    <row r="234">
      <c r="A234" s="19" t="n">
        <v>253</v>
      </c>
      <c r="B234" s="19" t="inlineStr">
        <is>
          <t>Bonificacion por cajas</t>
        </is>
      </c>
      <c r="C234" s="19" t="inlineStr">
        <is>
          <t>caja</t>
        </is>
      </c>
      <c r="D234" s="19" t="n"/>
      <c r="E234" s="19" t="n">
        <v>253</v>
      </c>
    </row>
    <row r="235">
      <c r="A235" s="19" t="n">
        <v>254</v>
      </c>
      <c r="B235" s="19" t="inlineStr">
        <is>
          <t>Saldo pendiente celaduria</t>
        </is>
      </c>
      <c r="C235" s="19" t="inlineStr">
        <is>
          <t>hora</t>
        </is>
      </c>
      <c r="D235" s="19" t="n"/>
      <c r="E235" s="19" t="n">
        <v>254</v>
      </c>
    </row>
    <row r="236">
      <c r="A236" s="19" t="n">
        <v>255</v>
      </c>
      <c r="B236" s="19" t="inlineStr">
        <is>
          <t>Limpia de canal terciario</t>
        </is>
      </c>
      <c r="C236" s="19" t="inlineStr">
        <is>
          <t>mts</t>
        </is>
      </c>
      <c r="D236" s="19" t="n"/>
      <c r="E236" s="19" t="n">
        <v>255</v>
      </c>
    </row>
    <row r="237">
      <c r="A237" s="19" t="n">
        <v>256</v>
      </c>
      <c r="B237" s="19" t="inlineStr">
        <is>
          <t>Mantenimiento de riego</t>
        </is>
      </c>
      <c r="C237" s="19" t="inlineStr">
        <is>
          <t>hora</t>
        </is>
      </c>
      <c r="D237" s="19" t="n"/>
      <c r="E237" s="19" t="n">
        <v>256</v>
      </c>
    </row>
    <row r="238">
      <c r="A238" s="19" t="n">
        <v>257</v>
      </c>
      <c r="B238" s="19" t="inlineStr">
        <is>
          <t>Cambio de boquilla</t>
        </is>
      </c>
      <c r="C238" s="19" t="inlineStr">
        <is>
          <t>hora</t>
        </is>
      </c>
      <c r="D238" s="19" t="n"/>
      <c r="E238" s="19" t="n">
        <v>257</v>
      </c>
    </row>
    <row r="239">
      <c r="A239" s="19" t="n">
        <v>258</v>
      </c>
      <c r="B239" s="19" t="inlineStr">
        <is>
          <t>Botada de vastago</t>
        </is>
      </c>
      <c r="C239" s="19" t="inlineStr">
        <is>
          <t>unidad</t>
        </is>
      </c>
      <c r="D239" s="19" t="n"/>
      <c r="E239" s="19" t="n">
        <v>258</v>
      </c>
    </row>
    <row r="240">
      <c r="A240" s="19" t="n">
        <v>259</v>
      </c>
      <c r="B240" s="19" t="inlineStr">
        <is>
          <t>Aseo de empacadora</t>
        </is>
      </c>
      <c r="C240" s="19" t="inlineStr">
        <is>
          <t>hora</t>
        </is>
      </c>
      <c r="D240" s="19" t="n"/>
      <c r="E240" s="19" t="n">
        <v>259</v>
      </c>
    </row>
    <row r="241">
      <c r="A241" s="19" t="n">
        <v>260</v>
      </c>
      <c r="B241" s="19" t="inlineStr">
        <is>
          <t>Desbloqueo de canal</t>
        </is>
      </c>
      <c r="C241" s="19" t="inlineStr">
        <is>
          <t>hora</t>
        </is>
      </c>
      <c r="D241" s="19" t="n"/>
      <c r="E241" s="19" t="n">
        <v>260</v>
      </c>
    </row>
    <row r="242">
      <c r="A242" s="19" t="n">
        <v>261</v>
      </c>
      <c r="B242" s="19" t="inlineStr">
        <is>
          <t>Instalacion de carpas moko</t>
        </is>
      </c>
      <c r="C242" s="19" t="inlineStr">
        <is>
          <t>hora</t>
        </is>
      </c>
      <c r="D242" s="19" t="n"/>
      <c r="E242" s="19" t="n">
        <v>261</v>
      </c>
    </row>
    <row r="243">
      <c r="A243" s="19" t="n">
        <v>262</v>
      </c>
      <c r="B243" s="19" t="inlineStr">
        <is>
          <t>Despalille</t>
        </is>
      </c>
      <c r="C243" s="19" t="inlineStr">
        <is>
          <t>hora</t>
        </is>
      </c>
      <c r="D243" s="19" t="n"/>
      <c r="E243" s="19" t="n">
        <v>262</v>
      </c>
    </row>
    <row r="244">
      <c r="A244" s="19" t="n">
        <v>263</v>
      </c>
      <c r="B244" s="19" t="inlineStr">
        <is>
          <t>Poda</t>
        </is>
      </c>
      <c r="C244" s="19" t="inlineStr">
        <is>
          <t>hora</t>
        </is>
      </c>
      <c r="D244" s="19" t="n"/>
      <c r="E244" s="19" t="n">
        <v>263</v>
      </c>
    </row>
    <row r="245">
      <c r="A245" s="19" t="n">
        <v>264</v>
      </c>
      <c r="B245" s="19" t="inlineStr">
        <is>
          <t>Oficios varios nocturno</t>
        </is>
      </c>
      <c r="C245" s="19" t="inlineStr">
        <is>
          <t>hora</t>
        </is>
      </c>
      <c r="D245" s="19" t="n"/>
      <c r="E245" s="19" t="n">
        <v>264</v>
      </c>
    </row>
    <row r="246">
      <c r="A246" s="19" t="n">
        <v>265</v>
      </c>
      <c r="B246" s="19" t="inlineStr">
        <is>
          <t>Mantenimiento carpa moko</t>
        </is>
      </c>
      <c r="C246" s="19" t="inlineStr">
        <is>
          <t>hora</t>
        </is>
      </c>
      <c r="D246" s="19" t="n"/>
      <c r="E246" s="19" t="n">
        <v>265</v>
      </c>
    </row>
    <row r="247">
      <c r="A247" s="19" t="n">
        <v>266</v>
      </c>
      <c r="B247" s="19" t="inlineStr">
        <is>
          <t>Quema de mapaitero</t>
        </is>
      </c>
      <c r="C247" s="19" t="inlineStr">
        <is>
          <t>hora</t>
        </is>
      </c>
      <c r="D247" s="19" t="n"/>
      <c r="E247" s="19" t="n">
        <v>266</v>
      </c>
    </row>
    <row r="248">
      <c r="A248" s="19" t="n">
        <v>267</v>
      </c>
      <c r="B248" s="19" t="inlineStr">
        <is>
          <t>Deshoje por hora El Refugio</t>
        </is>
      </c>
      <c r="C248" s="19" t="inlineStr">
        <is>
          <t>hora</t>
        </is>
      </c>
      <c r="D248" s="19" t="n"/>
      <c r="E248" s="19" t="n">
        <v>267</v>
      </c>
    </row>
    <row r="249">
      <c r="A249" s="19" t="n">
        <v>268</v>
      </c>
      <c r="B249" s="19" t="inlineStr">
        <is>
          <t>Pelota despeche</t>
        </is>
      </c>
      <c r="C249" s="19" t="inlineStr">
        <is>
          <t>hora</t>
        </is>
      </c>
      <c r="D249" s="19" t="n"/>
      <c r="E249" s="19" t="n">
        <v>268</v>
      </c>
    </row>
    <row r="250">
      <c r="A250" s="19" t="n">
        <v>269</v>
      </c>
      <c r="B250" s="19" t="inlineStr">
        <is>
          <t>Mantenimiento de empacadora</t>
        </is>
      </c>
      <c r="C250" s="19" t="inlineStr">
        <is>
          <t>hora</t>
        </is>
      </c>
      <c r="D250" s="19" t="n"/>
      <c r="E250" s="19" t="n">
        <v>269</v>
      </c>
    </row>
    <row r="251">
      <c r="A251" s="19" t="n">
        <v>270</v>
      </c>
      <c r="B251" s="19" t="inlineStr">
        <is>
          <t>Deshoje El Refugio</t>
        </is>
      </c>
      <c r="C251" s="19" t="inlineStr">
        <is>
          <t>hectarea</t>
        </is>
      </c>
      <c r="D251" s="19" t="n"/>
      <c r="E251" s="19" t="n">
        <v>270</v>
      </c>
    </row>
    <row r="252">
      <c r="A252" s="19" t="n">
        <v>271</v>
      </c>
      <c r="B252" s="19" t="inlineStr">
        <is>
          <t>Motorista festivo</t>
        </is>
      </c>
      <c r="C252" s="19" t="inlineStr">
        <is>
          <t>hora</t>
        </is>
      </c>
      <c r="D252" s="19" t="n"/>
      <c r="E252" s="19" t="n">
        <v>271</v>
      </c>
    </row>
    <row r="253">
      <c r="A253" s="19" t="n">
        <v>272</v>
      </c>
      <c r="B253" s="19" t="inlineStr">
        <is>
          <t>Acarreo de matas para siembra</t>
        </is>
      </c>
      <c r="C253" s="19" t="inlineStr">
        <is>
          <t>hora</t>
        </is>
      </c>
      <c r="D253" s="19" t="n"/>
      <c r="E253" s="19" t="n">
        <v>272</v>
      </c>
    </row>
    <row r="254">
      <c r="A254" s="19" t="n">
        <v>273</v>
      </c>
      <c r="B254" s="19" t="inlineStr">
        <is>
          <t>Motorista dominical</t>
        </is>
      </c>
      <c r="C254" s="19" t="inlineStr">
        <is>
          <t>hora</t>
        </is>
      </c>
      <c r="D254" s="19" t="n"/>
      <c r="E254" s="19" t="n">
        <v>273</v>
      </c>
    </row>
    <row r="255">
      <c r="A255" s="19" t="n">
        <v>274</v>
      </c>
      <c r="B255" s="19" t="inlineStr">
        <is>
          <t>Hechura de hueco para siembra al dia</t>
        </is>
      </c>
      <c r="C255" s="19" t="inlineStr">
        <is>
          <t>hora</t>
        </is>
      </c>
      <c r="D255" s="19" t="n"/>
      <c r="E255" s="19" t="n">
        <v>274</v>
      </c>
    </row>
    <row r="256">
      <c r="A256" s="19" t="n">
        <v>275</v>
      </c>
      <c r="B256" s="19" t="inlineStr">
        <is>
          <t>Colocacion de yumbolon festivo</t>
        </is>
      </c>
      <c r="C256" s="19" t="inlineStr">
        <is>
          <t>unidad</t>
        </is>
      </c>
      <c r="D256" s="19" t="n"/>
      <c r="E256" s="19" t="n">
        <v>275</v>
      </c>
    </row>
    <row r="257">
      <c r="A257" s="19" t="n">
        <v>276</v>
      </c>
      <c r="B257" s="19" t="inlineStr">
        <is>
          <t>Cargue de fruta mula</t>
        </is>
      </c>
      <c r="C257" s="19" t="inlineStr">
        <is>
          <t>tonelada</t>
        </is>
      </c>
      <c r="D257" s="19" t="n"/>
      <c r="E257" s="19" t="n">
        <v>276</v>
      </c>
    </row>
    <row r="258">
      <c r="A258" s="19" t="n">
        <v>277</v>
      </c>
      <c r="B258" s="19" t="inlineStr">
        <is>
          <t>Pepeo al dia</t>
        </is>
      </c>
      <c r="C258" s="19" t="inlineStr">
        <is>
          <t>hora</t>
        </is>
      </c>
      <c r="D258" s="19" t="n"/>
      <c r="E258" s="19" t="n">
        <v>277</v>
      </c>
    </row>
    <row r="259">
      <c r="A259" s="19" t="n">
        <v>278</v>
      </c>
      <c r="B259" s="19" t="inlineStr">
        <is>
          <t>Descargue de cisco</t>
        </is>
      </c>
      <c r="C259" s="19" t="inlineStr">
        <is>
          <t>hora</t>
        </is>
      </c>
      <c r="D259" s="19" t="n"/>
      <c r="E259" s="19" t="n">
        <v>278</v>
      </c>
    </row>
    <row r="260">
      <c r="A260" s="19" t="n">
        <v>279</v>
      </c>
      <c r="B260" s="19" t="inlineStr">
        <is>
          <t>Ayudante de construccion vivero</t>
        </is>
      </c>
      <c r="C260" s="19" t="inlineStr">
        <is>
          <t>hora</t>
        </is>
      </c>
      <c r="D260" s="19" t="n"/>
      <c r="E260" s="19" t="n">
        <v>279</v>
      </c>
    </row>
    <row r="261">
      <c r="A261" s="19" t="n">
        <v>280</v>
      </c>
      <c r="B261" s="19" t="inlineStr">
        <is>
          <t>Mantenimiento linderos</t>
        </is>
      </c>
      <c r="C261" s="19" t="inlineStr">
        <is>
          <t>hora</t>
        </is>
      </c>
      <c r="D261" s="19" t="n"/>
      <c r="E261" s="19" t="n">
        <v>280</v>
      </c>
    </row>
    <row r="262">
      <c r="A262" s="19" t="n">
        <v>281</v>
      </c>
      <c r="B262" s="19" t="inlineStr">
        <is>
          <t>Aplicacion de yeso</t>
        </is>
      </c>
      <c r="C262" s="19" t="inlineStr">
        <is>
          <t>hectarea</t>
        </is>
      </c>
      <c r="D262" s="19" t="n"/>
      <c r="E262" s="19" t="n">
        <v>281</v>
      </c>
    </row>
    <row r="263">
      <c r="A263" s="19" t="n">
        <v>282</v>
      </c>
      <c r="B263" s="19" t="inlineStr">
        <is>
          <t>Conteo de plantas por viento</t>
        </is>
      </c>
      <c r="C263" s="19" t="inlineStr">
        <is>
          <t>hora</t>
        </is>
      </c>
      <c r="D263" s="19" t="n"/>
      <c r="E263" s="19" t="n">
        <v>282</v>
      </c>
    </row>
    <row r="264">
      <c r="A264" s="19" t="n">
        <v>283</v>
      </c>
      <c r="B264" s="19" t="inlineStr">
        <is>
          <t>Mecanico Palmawa</t>
        </is>
      </c>
      <c r="C264" s="19" t="inlineStr">
        <is>
          <t>hora</t>
        </is>
      </c>
      <c r="D264" s="19" t="n"/>
      <c r="E264" s="19" t="n">
        <v>283</v>
      </c>
    </row>
    <row r="265">
      <c r="A265" s="19" t="n">
        <v>284</v>
      </c>
      <c r="B265" s="19" t="inlineStr">
        <is>
          <t>Ayudante de moko</t>
        </is>
      </c>
      <c r="C265" s="19" t="inlineStr">
        <is>
          <t>hora</t>
        </is>
      </c>
      <c r="D265" s="19" t="n"/>
      <c r="E265" s="19" t="n">
        <v>284</v>
      </c>
    </row>
    <row r="266">
      <c r="A266" s="19" t="n">
        <v>285</v>
      </c>
      <c r="B266" s="19" t="inlineStr">
        <is>
          <t>Pepeo</t>
        </is>
      </c>
      <c r="C266" s="19" t="inlineStr">
        <is>
          <t>bulto</t>
        </is>
      </c>
      <c r="D266" s="19" t="n"/>
      <c r="E266" s="19" t="n">
        <v>285</v>
      </c>
    </row>
    <row r="267">
      <c r="A267" s="19" t="n">
        <v>286</v>
      </c>
      <c r="B267" s="19" t="inlineStr">
        <is>
          <t>Desmonte de camino</t>
        </is>
      </c>
      <c r="C267" s="19" t="inlineStr">
        <is>
          <t>hora</t>
        </is>
      </c>
      <c r="D267" s="19" t="n"/>
      <c r="E267" s="19" t="n">
        <v>286</v>
      </c>
    </row>
    <row r="268">
      <c r="A268" s="19" t="n">
        <v>287</v>
      </c>
      <c r="B268" s="19" t="inlineStr">
        <is>
          <t>Instalacion de trampas</t>
        </is>
      </c>
      <c r="C268" s="19" t="inlineStr">
        <is>
          <t>tonelada</t>
        </is>
      </c>
      <c r="D268" s="19" t="n"/>
      <c r="E268" s="19" t="n">
        <v>287</v>
      </c>
    </row>
    <row r="269">
      <c r="A269" s="19" t="n">
        <v>288</v>
      </c>
      <c r="B269" s="19" t="inlineStr">
        <is>
          <t>Cargue y descargue de fertilizante</t>
        </is>
      </c>
      <c r="C269" s="19" t="inlineStr">
        <is>
          <t>hora</t>
        </is>
      </c>
      <c r="D269" s="19" t="n"/>
      <c r="E269" s="19" t="n">
        <v>288</v>
      </c>
    </row>
    <row r="270">
      <c r="A270" s="19" t="n">
        <v>289</v>
      </c>
      <c r="B270" s="19" t="inlineStr">
        <is>
          <t>Mezcla para vivero festivo</t>
        </is>
      </c>
      <c r="C270" s="19" t="inlineStr">
        <is>
          <t>hora</t>
        </is>
      </c>
      <c r="D270" s="19" t="n"/>
      <c r="E270" s="19" t="n">
        <v>289</v>
      </c>
    </row>
    <row r="271">
      <c r="A271" s="19" t="n">
        <v>290</v>
      </c>
      <c r="B271" s="19" t="inlineStr">
        <is>
          <t>Poda de matas</t>
        </is>
      </c>
      <c r="C271" s="19" t="inlineStr">
        <is>
          <t>hora</t>
        </is>
      </c>
      <c r="D271" s="19" t="n"/>
      <c r="E271" s="19" t="n">
        <v>290</v>
      </c>
    </row>
    <row r="272">
      <c r="A272" s="19" t="n">
        <v>291</v>
      </c>
      <c r="B272" s="19" t="inlineStr">
        <is>
          <t>Ayudante de vivero dominical</t>
        </is>
      </c>
      <c r="C272" s="19" t="inlineStr">
        <is>
          <t>hora</t>
        </is>
      </c>
      <c r="D272" s="19" t="n"/>
      <c r="E272" s="19" t="n">
        <v>291</v>
      </c>
    </row>
    <row r="273">
      <c r="A273" s="19" t="n">
        <v>292</v>
      </c>
      <c r="B273" s="19" t="inlineStr">
        <is>
          <t>Identificacion de cintas</t>
        </is>
      </c>
      <c r="C273" s="19" t="inlineStr">
        <is>
          <t>hora</t>
        </is>
      </c>
      <c r="D273" s="19" t="n"/>
      <c r="E273" s="19" t="n">
        <v>292</v>
      </c>
    </row>
    <row r="274">
      <c r="A274" s="19" t="n">
        <v>293</v>
      </c>
      <c r="B274" s="19" t="inlineStr">
        <is>
          <t>Conteo de fruta</t>
        </is>
      </c>
      <c r="C274" s="19" t="inlineStr">
        <is>
          <t>hora</t>
        </is>
      </c>
      <c r="D274" s="19" t="n"/>
      <c r="E274" s="19" t="n">
        <v>293</v>
      </c>
    </row>
    <row r="275">
      <c r="A275" s="19" t="n">
        <v>294</v>
      </c>
      <c r="B275" s="19" t="inlineStr">
        <is>
          <t>Ayudante de vivero festivo</t>
        </is>
      </c>
      <c r="C275" s="19" t="inlineStr">
        <is>
          <t>hora</t>
        </is>
      </c>
      <c r="D275" s="19" t="n"/>
      <c r="E275" s="19" t="n">
        <v>294</v>
      </c>
    </row>
    <row r="276">
      <c r="A276" s="19" t="n">
        <v>295</v>
      </c>
      <c r="B276" s="19" t="inlineStr">
        <is>
          <t>Ayudante de vivero</t>
        </is>
      </c>
      <c r="C276" s="19" t="inlineStr">
        <is>
          <t>hora</t>
        </is>
      </c>
      <c r="D276" s="19" t="n"/>
      <c r="E276" s="19" t="n">
        <v>295</v>
      </c>
    </row>
    <row r="277">
      <c r="A277" s="19" t="n">
        <v>296</v>
      </c>
      <c r="B277" s="19" t="inlineStr">
        <is>
          <t>Recoleccion de insumos parcela</t>
        </is>
      </c>
      <c r="C277" s="19" t="inlineStr">
        <is>
          <t>hora</t>
        </is>
      </c>
      <c r="D277" s="19" t="n"/>
      <c r="E277" s="19" t="n">
        <v>296</v>
      </c>
    </row>
    <row r="278">
      <c r="A278" s="19" t="n">
        <v>297</v>
      </c>
      <c r="B278" s="19" t="inlineStr">
        <is>
          <t>Ayudante de albañil dominical</t>
        </is>
      </c>
      <c r="C278" s="19" t="inlineStr">
        <is>
          <t>hora</t>
        </is>
      </c>
      <c r="D278" s="19" t="n"/>
      <c r="E278" s="19" t="n">
        <v>297</v>
      </c>
    </row>
    <row r="279">
      <c r="A279" s="19" t="n">
        <v>298</v>
      </c>
      <c r="B279" s="19" t="inlineStr">
        <is>
          <t>Clasificacion de yumbolon</t>
        </is>
      </c>
      <c r="C279" s="19" t="inlineStr">
        <is>
          <t>hora</t>
        </is>
      </c>
      <c r="D279" s="19" t="n"/>
      <c r="E279" s="19" t="n">
        <v>298</v>
      </c>
    </row>
    <row r="280">
      <c r="A280" s="19" t="n">
        <v>299</v>
      </c>
      <c r="B280" s="19" t="inlineStr">
        <is>
          <t>Contador</t>
        </is>
      </c>
      <c r="C280" s="19" t="inlineStr">
        <is>
          <t>dia</t>
        </is>
      </c>
      <c r="D280" s="19" t="n"/>
      <c r="E280" s="19" t="n">
        <v>299</v>
      </c>
    </row>
    <row r="281">
      <c r="A281" s="19" t="n">
        <v>300</v>
      </c>
      <c r="B281" s="19" t="inlineStr">
        <is>
          <t>Entrega de plantas vivero</t>
        </is>
      </c>
      <c r="C281" s="19" t="inlineStr">
        <is>
          <t>hora</t>
        </is>
      </c>
      <c r="D281" s="19" t="n"/>
      <c r="E281" s="19" t="n">
        <v>300</v>
      </c>
    </row>
    <row r="282">
      <c r="A282" s="19" t="n">
        <v>301</v>
      </c>
      <c r="B282" s="19" t="inlineStr">
        <is>
          <t>Alineacion para siembra dominical</t>
        </is>
      </c>
      <c r="C282" s="19" t="inlineStr">
        <is>
          <t>hora</t>
        </is>
      </c>
      <c r="D282" s="19" t="n"/>
      <c r="E282" s="19" t="n">
        <v>301</v>
      </c>
    </row>
    <row r="283">
      <c r="A283" s="19" t="n">
        <v>302</v>
      </c>
      <c r="B283" s="19" t="inlineStr">
        <is>
          <t>Instalacion de riego dominical</t>
        </is>
      </c>
      <c r="C283" s="19" t="inlineStr">
        <is>
          <t>hora</t>
        </is>
      </c>
      <c r="D283" s="19" t="n"/>
      <c r="E283" s="19" t="n">
        <v>302</v>
      </c>
    </row>
    <row r="284">
      <c r="A284" s="19" t="n">
        <v>303</v>
      </c>
      <c r="B284" s="19" t="inlineStr">
        <is>
          <t>Aseo de empacadora festivo</t>
        </is>
      </c>
      <c r="C284" s="19" t="inlineStr">
        <is>
          <t>hora</t>
        </is>
      </c>
      <c r="D284" s="19" t="n"/>
      <c r="E284" s="19" t="n">
        <v>303</v>
      </c>
    </row>
    <row r="285">
      <c r="A285" s="19" t="n">
        <v>304</v>
      </c>
      <c r="B285" s="19" t="inlineStr">
        <is>
          <t>Aplicacion de fertilizante plantilla</t>
        </is>
      </c>
      <c r="C285" s="19" t="inlineStr">
        <is>
          <t>hora</t>
        </is>
      </c>
      <c r="D285" s="19" t="n"/>
      <c r="E285" s="19" t="n">
        <v>304</v>
      </c>
    </row>
    <row r="286">
      <c r="A286" s="19" t="n">
        <v>305</v>
      </c>
      <c r="B286" s="19" t="inlineStr">
        <is>
          <t>Busqueda de bufalo</t>
        </is>
      </c>
      <c r="C286" s="19" t="inlineStr">
        <is>
          <t>hora</t>
        </is>
      </c>
      <c r="D286" s="19" t="n"/>
      <c r="E286" s="19" t="n">
        <v>305</v>
      </c>
    </row>
    <row r="287">
      <c r="A287" s="19" t="n">
        <v>306</v>
      </c>
      <c r="B287" s="19" t="inlineStr">
        <is>
          <t>Marcacion de fruta barrida</t>
        </is>
      </c>
      <c r="C287" s="19" t="inlineStr">
        <is>
          <t>hora</t>
        </is>
      </c>
      <c r="D287" s="19" t="n"/>
      <c r="E287" s="19" t="n">
        <v>306</v>
      </c>
    </row>
    <row r="288">
      <c r="A288" s="19" t="n">
        <v>307</v>
      </c>
      <c r="B288" s="19" t="inlineStr">
        <is>
          <t>Aplicacion de abono festivo</t>
        </is>
      </c>
      <c r="C288" s="19" t="inlineStr">
        <is>
          <t>bulto</t>
        </is>
      </c>
      <c r="D288" s="19" t="n"/>
      <c r="E288" s="19" t="n">
        <v>307</v>
      </c>
    </row>
    <row r="289">
      <c r="A289" s="19" t="n">
        <v>308</v>
      </c>
      <c r="B289" s="19" t="inlineStr">
        <is>
          <t>Destape de tuberias</t>
        </is>
      </c>
      <c r="C289" s="19" t="inlineStr">
        <is>
          <t>hora</t>
        </is>
      </c>
      <c r="D289" s="19" t="n"/>
      <c r="E289" s="19" t="n">
        <v>308</v>
      </c>
    </row>
    <row r="290">
      <c r="A290" s="19" t="n">
        <v>309</v>
      </c>
      <c r="B290" s="19" t="inlineStr">
        <is>
          <t>Instalacion de manguera</t>
        </is>
      </c>
      <c r="C290" s="19" t="inlineStr">
        <is>
          <t>hora</t>
        </is>
      </c>
      <c r="D290" s="19" t="n"/>
      <c r="E290" s="19" t="n">
        <v>309</v>
      </c>
    </row>
    <row r="291">
      <c r="A291" s="19" t="n">
        <v>310</v>
      </c>
      <c r="B291" s="19" t="inlineStr">
        <is>
          <t>Transporte de matas</t>
        </is>
      </c>
      <c r="C291" s="19" t="inlineStr">
        <is>
          <t>hora</t>
        </is>
      </c>
      <c r="D291" s="19" t="n"/>
      <c r="E291" s="19" t="n">
        <v>310</v>
      </c>
    </row>
    <row r="292">
      <c r="A292" s="19" t="n">
        <v>311</v>
      </c>
      <c r="B292" s="19" t="inlineStr">
        <is>
          <t>Aplicacion de fertilizante plantilla festivo</t>
        </is>
      </c>
      <c r="C292" s="19" t="inlineStr">
        <is>
          <t>hora</t>
        </is>
      </c>
      <c r="D292" s="19" t="n"/>
      <c r="E292" s="19" t="n">
        <v>311</v>
      </c>
    </row>
    <row r="293">
      <c r="A293" s="19" t="n">
        <v>312</v>
      </c>
      <c r="B293" s="19" t="inlineStr">
        <is>
          <t>Aplicacion de fertilizante festivo</t>
        </is>
      </c>
      <c r="C293" s="19" t="inlineStr">
        <is>
          <t>bulto</t>
        </is>
      </c>
      <c r="D293" s="19" t="n"/>
      <c r="E293" s="19" t="n">
        <v>312</v>
      </c>
    </row>
    <row r="294">
      <c r="A294" s="19" t="n">
        <v>313</v>
      </c>
      <c r="B294" s="19" t="inlineStr">
        <is>
          <t>Destape de tuberias festivo</t>
        </is>
      </c>
      <c r="C294" s="19" t="inlineStr">
        <is>
          <t>hora</t>
        </is>
      </c>
      <c r="D294" s="19" t="n"/>
      <c r="E294" s="19" t="n">
        <v>313</v>
      </c>
    </row>
    <row r="295">
      <c r="A295" s="19" t="n">
        <v>314</v>
      </c>
      <c r="B295" s="19" t="inlineStr">
        <is>
          <t>Estirada de manguera</t>
        </is>
      </c>
      <c r="C295" s="19" t="inlineStr">
        <is>
          <t>hora</t>
        </is>
      </c>
      <c r="D295" s="19" t="n"/>
      <c r="E295" s="19" t="n">
        <v>314</v>
      </c>
    </row>
    <row r="296">
      <c r="A296" s="19" t="n">
        <v>315</v>
      </c>
      <c r="B296" s="19" t="inlineStr">
        <is>
          <t>Recogida de manguera</t>
        </is>
      </c>
      <c r="C296" s="19" t="inlineStr">
        <is>
          <t>hora</t>
        </is>
      </c>
      <c r="D296" s="19" t="n"/>
      <c r="E296" s="19" t="n">
        <v>315</v>
      </c>
    </row>
    <row r="297">
      <c r="A297" s="19" t="n">
        <v>316</v>
      </c>
      <c r="B297" s="19" t="inlineStr">
        <is>
          <t>Siembra</t>
        </is>
      </c>
      <c r="C297" s="19" t="inlineStr">
        <is>
          <t>unidad</t>
        </is>
      </c>
      <c r="D297" s="19" t="n"/>
      <c r="E297" s="19" t="n">
        <v>316</v>
      </c>
    </row>
    <row r="298">
      <c r="A298" s="19" t="n">
        <v>317</v>
      </c>
      <c r="B298" s="19" t="inlineStr">
        <is>
          <t>Mantenimiento de riego adm</t>
        </is>
      </c>
      <c r="C298" s="19" t="inlineStr">
        <is>
          <t>hora</t>
        </is>
      </c>
      <c r="D298" s="19" t="n"/>
      <c r="E298" s="19" t="n">
        <v>317</v>
      </c>
    </row>
    <row r="299">
      <c r="A299" s="19" t="n">
        <v>318</v>
      </c>
      <c r="B299" s="19" t="inlineStr">
        <is>
          <t>Aplicacion de herbicida plantilla</t>
        </is>
      </c>
      <c r="C299" s="19" t="inlineStr">
        <is>
          <t>hora</t>
        </is>
      </c>
      <c r="D299" s="19" t="n"/>
      <c r="E299" s="19" t="n">
        <v>318</v>
      </c>
    </row>
    <row r="300">
      <c r="A300" s="19" t="n">
        <v>319</v>
      </c>
      <c r="B300" s="19" t="inlineStr">
        <is>
          <t>Embolse, desflore e identificacion</t>
        </is>
      </c>
      <c r="C300" s="19" t="inlineStr">
        <is>
          <t>hectarea</t>
        </is>
      </c>
      <c r="D300" s="19" t="n"/>
      <c r="E300" s="19" t="n">
        <v>319</v>
      </c>
    </row>
    <row r="301">
      <c r="A301" s="19" t="n">
        <v>320</v>
      </c>
      <c r="B301" s="19" t="inlineStr">
        <is>
          <t>Amarre y reamarre</t>
        </is>
      </c>
      <c r="C301" s="19" t="inlineStr">
        <is>
          <t>hectarea</t>
        </is>
      </c>
      <c r="D301" s="19" t="n"/>
      <c r="E301" s="19" t="n">
        <v>320</v>
      </c>
    </row>
    <row r="302">
      <c r="A302" s="19" t="n">
        <v>321</v>
      </c>
      <c r="B302" s="19" t="inlineStr">
        <is>
          <t>Despeche y desvio</t>
        </is>
      </c>
      <c r="C302" s="19" t="inlineStr">
        <is>
          <t>hectarea</t>
        </is>
      </c>
      <c r="D302" s="19" t="n"/>
      <c r="E302" s="19" t="n">
        <v>321</v>
      </c>
    </row>
    <row r="303">
      <c r="A303" s="19" t="n">
        <v>322</v>
      </c>
      <c r="B303" s="19" t="inlineStr">
        <is>
          <t>Organizacion de yumbolon</t>
        </is>
      </c>
      <c r="C303" s="19" t="inlineStr">
        <is>
          <t>hora</t>
        </is>
      </c>
      <c r="D303" s="19" t="n"/>
      <c r="E303" s="19" t="n">
        <v>322</v>
      </c>
    </row>
    <row r="304">
      <c r="A304" s="19" t="n">
        <v>323</v>
      </c>
      <c r="B304" s="19" t="inlineStr">
        <is>
          <t>Cargue de residuos solidos retro</t>
        </is>
      </c>
      <c r="C304" s="19" t="inlineStr">
        <is>
          <t>hora</t>
        </is>
      </c>
      <c r="D304" s="19" t="n"/>
      <c r="E304" s="19" t="n">
        <v>323</v>
      </c>
    </row>
    <row r="305">
      <c r="A305" s="19" t="n">
        <v>324</v>
      </c>
      <c r="B305" s="19" t="inlineStr">
        <is>
          <t>Amarre y reamarre festivo</t>
        </is>
      </c>
      <c r="C305" s="19" t="inlineStr">
        <is>
          <t>hectarea</t>
        </is>
      </c>
      <c r="D305" s="19" t="n"/>
      <c r="E305" s="19" t="n">
        <v>324</v>
      </c>
    </row>
    <row r="306">
      <c r="A306" s="19" t="n">
        <v>325</v>
      </c>
      <c r="B306" s="19" t="inlineStr">
        <is>
          <t>Mantenimiento de plantilla festivo</t>
        </is>
      </c>
      <c r="C306" s="19" t="inlineStr">
        <is>
          <t>hora</t>
        </is>
      </c>
      <c r="D306" s="19" t="n"/>
      <c r="E306" s="19" t="n">
        <v>325</v>
      </c>
    </row>
    <row r="307">
      <c r="A307" s="19" t="n">
        <v>326</v>
      </c>
      <c r="B307" s="19" t="inlineStr">
        <is>
          <t>Caja integral rechazada</t>
        </is>
      </c>
      <c r="C307" s="19" t="inlineStr">
        <is>
          <t>unidad</t>
        </is>
      </c>
      <c r="D307" s="19" t="n"/>
      <c r="E307" s="19" t="n">
        <v>326</v>
      </c>
    </row>
    <row r="308">
      <c r="A308" s="19" t="n">
        <v>327</v>
      </c>
      <c r="B308" s="19" t="inlineStr">
        <is>
          <t>Caja promedio rechazada</t>
        </is>
      </c>
      <c r="C308" s="19" t="inlineStr">
        <is>
          <t>unidad</t>
        </is>
      </c>
      <c r="D308" s="19" t="n"/>
      <c r="E308" s="19" t="n">
        <v>327</v>
      </c>
    </row>
    <row r="309">
      <c r="A309" s="19" t="n">
        <v>328</v>
      </c>
      <c r="B309" s="19" t="inlineStr">
        <is>
          <t>Caja promedio auxiliar rechazada</t>
        </is>
      </c>
      <c r="C309" s="19" t="inlineStr">
        <is>
          <t>unidad</t>
        </is>
      </c>
      <c r="D309" s="19" t="n"/>
      <c r="E309" s="19" t="n">
        <v>328</v>
      </c>
    </row>
    <row r="310">
      <c r="A310" s="19" t="n">
        <v>329</v>
      </c>
      <c r="B310" s="19" t="inlineStr">
        <is>
          <t>Licencia por luto</t>
        </is>
      </c>
      <c r="C310" s="19" t="inlineStr">
        <is>
          <t>hora</t>
        </is>
      </c>
      <c r="D310" s="19" t="n"/>
      <c r="E310" s="19" t="n">
        <v>329</v>
      </c>
    </row>
    <row r="311">
      <c r="A311" s="19" t="n">
        <v>330</v>
      </c>
      <c r="B311" s="19" t="inlineStr">
        <is>
          <t>Embolse, desflore e identificacion festivo</t>
        </is>
      </c>
      <c r="C311" s="19" t="inlineStr">
        <is>
          <t>hectarea</t>
        </is>
      </c>
      <c r="D311" s="19" t="n"/>
      <c r="E311" s="19" t="n">
        <v>330</v>
      </c>
    </row>
    <row r="312">
      <c r="A312" s="19" t="n">
        <v>331</v>
      </c>
      <c r="B312" s="19" t="inlineStr">
        <is>
          <t>Elaboracion de terminales</t>
        </is>
      </c>
      <c r="C312" s="19" t="inlineStr">
        <is>
          <t>dia</t>
        </is>
      </c>
      <c r="D312" s="19" t="n"/>
      <c r="E312" s="19" t="n">
        <v>331</v>
      </c>
    </row>
    <row r="313">
      <c r="A313" s="19" t="n">
        <v>332</v>
      </c>
      <c r="B313" s="19" t="inlineStr">
        <is>
          <t>Aporque de matas</t>
        </is>
      </c>
      <c r="C313" s="19" t="inlineStr">
        <is>
          <t>hora</t>
        </is>
      </c>
      <c r="D313" s="19" t="n"/>
      <c r="E313" s="19" t="n">
        <v>332</v>
      </c>
    </row>
    <row r="314">
      <c r="A314" s="19" t="n">
        <v>333</v>
      </c>
      <c r="B314" s="19" t="inlineStr">
        <is>
          <t>Chapia de canal con herbicida al dia</t>
        </is>
      </c>
      <c r="C314" s="19" t="inlineStr">
        <is>
          <t>hora</t>
        </is>
      </c>
      <c r="D314" s="19" t="n"/>
      <c r="E314" s="19" t="n">
        <v>333</v>
      </c>
    </row>
    <row r="315">
      <c r="A315" s="19" t="n">
        <v>334</v>
      </c>
      <c r="B315" s="19" t="inlineStr">
        <is>
          <t>Corte caja integral</t>
        </is>
      </c>
      <c r="C315" s="19" t="inlineStr">
        <is>
          <t>caja</t>
        </is>
      </c>
      <c r="D315" s="19" t="n"/>
      <c r="E315" s="19" t="n">
        <v>334</v>
      </c>
    </row>
    <row r="316">
      <c r="A316" s="19" t="n">
        <v>335</v>
      </c>
      <c r="B316" s="19" t="inlineStr">
        <is>
          <t>Corte caja integral festivo</t>
        </is>
      </c>
      <c r="C316" s="19" t="inlineStr">
        <is>
          <t>caja</t>
        </is>
      </c>
      <c r="D316" s="19" t="n"/>
      <c r="E316" s="19" t="n">
        <v>335</v>
      </c>
    </row>
    <row r="317">
      <c r="A317" s="19" t="n">
        <v>336</v>
      </c>
      <c r="B317" s="19" t="inlineStr">
        <is>
          <t>Corte promedio</t>
        </is>
      </c>
      <c r="C317" s="19" t="inlineStr">
        <is>
          <t>caja</t>
        </is>
      </c>
      <c r="D317" s="19" t="n"/>
      <c r="E317" s="19" t="n">
        <v>336</v>
      </c>
    </row>
    <row r="318">
      <c r="A318" s="19" t="n">
        <v>337</v>
      </c>
      <c r="B318" s="19" t="inlineStr">
        <is>
          <t>Corte promedio Elizabeth</t>
        </is>
      </c>
      <c r="C318" s="19" t="inlineStr">
        <is>
          <t>unidad</t>
        </is>
      </c>
      <c r="D318" s="19" t="n"/>
      <c r="E318" s="19" t="n">
        <v>337</v>
      </c>
    </row>
    <row r="319">
      <c r="A319" s="19" t="n">
        <v>338</v>
      </c>
      <c r="B319" s="19" t="inlineStr">
        <is>
          <t>Repique de racimos</t>
        </is>
      </c>
      <c r="C319" s="19" t="inlineStr">
        <is>
          <t>hora</t>
        </is>
      </c>
      <c r="D319" s="19" t="n"/>
      <c r="E319" s="19" t="n">
        <v>338</v>
      </c>
    </row>
    <row r="320">
      <c r="A320" s="19" t="n">
        <v>339</v>
      </c>
      <c r="B320" s="19" t="inlineStr">
        <is>
          <t>Ayudante de instalacion electrica dominical</t>
        </is>
      </c>
      <c r="C320" s="19" t="inlineStr">
        <is>
          <t>hora</t>
        </is>
      </c>
      <c r="D320" s="19" t="n"/>
      <c r="E320" s="19" t="n">
        <v>339</v>
      </c>
    </row>
    <row r="321">
      <c r="A321" s="19" t="n">
        <v>340</v>
      </c>
      <c r="B321" s="19" t="inlineStr">
        <is>
          <t>Acarreo de fruta</t>
        </is>
      </c>
      <c r="C321" s="19" t="inlineStr">
        <is>
          <t>hora</t>
        </is>
      </c>
      <c r="D321" s="19" t="n"/>
      <c r="E321" s="19" t="n">
        <v>340</v>
      </c>
    </row>
    <row r="322">
      <c r="A322" s="19" t="n">
        <v>341</v>
      </c>
      <c r="B322" s="19" t="inlineStr">
        <is>
          <t>Corte promedio empacadora</t>
        </is>
      </c>
      <c r="C322" s="19" t="inlineStr">
        <is>
          <t>unidad</t>
        </is>
      </c>
      <c r="D322" s="19" t="n"/>
      <c r="E322" s="19" t="n">
        <v>341</v>
      </c>
    </row>
    <row r="323">
      <c r="A323" s="19" t="n">
        <v>342</v>
      </c>
      <c r="B323" s="19" t="inlineStr">
        <is>
          <t>Corte campo</t>
        </is>
      </c>
      <c r="C323" s="19" t="inlineStr">
        <is>
          <t>unidad</t>
        </is>
      </c>
      <c r="D323" s="19" t="n"/>
      <c r="E323" s="19" t="n">
        <v>342</v>
      </c>
    </row>
    <row r="324">
      <c r="A324" s="19" t="n">
        <v>343</v>
      </c>
      <c r="B324" s="19" t="inlineStr">
        <is>
          <t>Corte promedio campo</t>
        </is>
      </c>
      <c r="C324" s="19" t="inlineStr">
        <is>
          <t>unidad</t>
        </is>
      </c>
      <c r="D324" s="19" t="n"/>
      <c r="E324" s="19" t="n">
        <v>343</v>
      </c>
    </row>
    <row r="325">
      <c r="A325" s="19" t="n">
        <v>344</v>
      </c>
      <c r="B325" s="19" t="inlineStr">
        <is>
          <t>Levante de manguera plantilla</t>
        </is>
      </c>
      <c r="C325" s="19" t="inlineStr">
        <is>
          <t>hora</t>
        </is>
      </c>
      <c r="D325" s="19" t="n"/>
      <c r="E325" s="19" t="n">
        <v>344</v>
      </c>
    </row>
    <row r="326">
      <c r="A326" s="19" t="n">
        <v>345</v>
      </c>
      <c r="B326" s="19" t="inlineStr">
        <is>
          <t>Colocacion de yumbolon al dia</t>
        </is>
      </c>
      <c r="C326" s="19" t="inlineStr">
        <is>
          <t>hora</t>
        </is>
      </c>
      <c r="D326" s="19" t="n"/>
      <c r="E326" s="19" t="n">
        <v>345</v>
      </c>
    </row>
    <row r="327">
      <c r="A327" s="19" t="n">
        <v>346</v>
      </c>
      <c r="B327" s="19" t="inlineStr">
        <is>
          <t>Administrador Palmawa</t>
        </is>
      </c>
      <c r="C327" s="19" t="inlineStr">
        <is>
          <t>hora</t>
        </is>
      </c>
      <c r="D327" s="19" t="n"/>
      <c r="E327" s="19" t="n">
        <v>346</v>
      </c>
    </row>
    <row r="328">
      <c r="A328" s="19" t="n">
        <v>347</v>
      </c>
      <c r="B328" s="19" t="inlineStr">
        <is>
          <t>Limpia a machete plantilla</t>
        </is>
      </c>
      <c r="C328" s="19" t="inlineStr">
        <is>
          <t>hora</t>
        </is>
      </c>
      <c r="D328" s="19" t="n"/>
      <c r="E328" s="19" t="n">
        <v>347</v>
      </c>
    </row>
    <row r="329">
      <c r="A329" s="19" t="n">
        <v>348</v>
      </c>
      <c r="B329" s="19" t="inlineStr">
        <is>
          <t>Repique de rebrote plantilla</t>
        </is>
      </c>
      <c r="C329" s="19" t="inlineStr">
        <is>
          <t>hora</t>
        </is>
      </c>
      <c r="D329" s="19" t="n"/>
      <c r="E329" s="19" t="n">
        <v>348</v>
      </c>
    </row>
    <row r="330">
      <c r="A330" s="19" t="n">
        <v>349</v>
      </c>
      <c r="B330" s="19" t="inlineStr">
        <is>
          <t>Instalacion de riego proyecto</t>
        </is>
      </c>
      <c r="C330" s="19" t="inlineStr">
        <is>
          <t>hora</t>
        </is>
      </c>
      <c r="D330" s="19" t="n"/>
      <c r="E330" s="19" t="n">
        <v>349</v>
      </c>
    </row>
    <row r="331">
      <c r="A331" s="19" t="n">
        <v>350</v>
      </c>
      <c r="B331" s="19" t="inlineStr">
        <is>
          <t>Limpia a machete proyecto</t>
        </is>
      </c>
      <c r="C331" s="19" t="inlineStr">
        <is>
          <t>hora</t>
        </is>
      </c>
      <c r="D331" s="19" t="n"/>
      <c r="E331" s="19" t="n">
        <v>350</v>
      </c>
    </row>
    <row r="332">
      <c r="A332" s="19" t="n">
        <v>351</v>
      </c>
      <c r="B332" s="19" t="inlineStr">
        <is>
          <t>Alineacion para resiembra</t>
        </is>
      </c>
      <c r="C332" s="19" t="inlineStr">
        <is>
          <t>hora</t>
        </is>
      </c>
      <c r="D332" s="19" t="n"/>
      <c r="E332" s="19" t="n">
        <v>351</v>
      </c>
    </row>
    <row r="333">
      <c r="A333" s="19" t="n">
        <v>352</v>
      </c>
      <c r="B333" s="19" t="inlineStr">
        <is>
          <t>Aplicacion de herbicida proyecto</t>
        </is>
      </c>
      <c r="C333" s="19" t="inlineStr">
        <is>
          <t>hora</t>
        </is>
      </c>
      <c r="D333" s="19" t="n"/>
      <c r="E333" s="19" t="n">
        <v>352</v>
      </c>
    </row>
    <row r="334">
      <c r="A334" s="19" t="n">
        <v>353</v>
      </c>
      <c r="B334" s="19" t="inlineStr">
        <is>
          <t>Arreglo de escaleras</t>
        </is>
      </c>
      <c r="C334" s="19" t="inlineStr">
        <is>
          <t>hora</t>
        </is>
      </c>
      <c r="D334" s="19" t="n"/>
      <c r="E334" s="19" t="n">
        <v>353</v>
      </c>
    </row>
    <row r="335">
      <c r="A335" s="19" t="n">
        <v>354</v>
      </c>
      <c r="B335" s="19" t="inlineStr">
        <is>
          <t>Riego la carola</t>
        </is>
      </c>
      <c r="C335" s="19" t="inlineStr">
        <is>
          <t>hora</t>
        </is>
      </c>
      <c r="D335" s="19" t="n"/>
      <c r="E335" s="19" t="n">
        <v>354</v>
      </c>
    </row>
    <row r="336">
      <c r="A336" s="19" t="n">
        <v>355</v>
      </c>
      <c r="B336" s="19" t="inlineStr">
        <is>
          <t>Resiembra de cabezas plantilla</t>
        </is>
      </c>
      <c r="C336" s="19" t="inlineStr">
        <is>
          <t>unidad</t>
        </is>
      </c>
      <c r="D336" s="19" t="n"/>
      <c r="E336" s="19" t="n">
        <v>355</v>
      </c>
    </row>
    <row r="337">
      <c r="A337" s="19" t="n">
        <v>356</v>
      </c>
      <c r="B337" s="19" t="inlineStr">
        <is>
          <t>Cargue de cajas</t>
        </is>
      </c>
      <c r="C337" s="19" t="inlineStr">
        <is>
          <t>hora</t>
        </is>
      </c>
      <c r="D337" s="19" t="n"/>
      <c r="E337" s="19" t="n">
        <v>356</v>
      </c>
    </row>
    <row r="338">
      <c r="A338" s="19" t="n">
        <v>357</v>
      </c>
      <c r="B338" s="19" t="inlineStr">
        <is>
          <t>Alistamiento racim. negro</t>
        </is>
      </c>
      <c r="C338" s="19" t="inlineStr">
        <is>
          <t>unidad</t>
        </is>
      </c>
      <c r="D338" s="19" t="n"/>
      <c r="E338" s="19" t="n">
        <v>357</v>
      </c>
    </row>
    <row r="339">
      <c r="A339" s="19" t="n">
        <v>358</v>
      </c>
      <c r="B339" s="19" t="inlineStr">
        <is>
          <t>Alistamiento racimos</t>
        </is>
      </c>
      <c r="C339" s="19" t="inlineStr">
        <is>
          <t>hora</t>
        </is>
      </c>
      <c r="D339" s="19" t="n"/>
      <c r="E339" s="19" t="n">
        <v>358</v>
      </c>
    </row>
    <row r="340">
      <c r="A340" s="19" t="n">
        <v>359</v>
      </c>
      <c r="B340" s="19" t="inlineStr">
        <is>
          <t>Alistamiento racim. azul</t>
        </is>
      </c>
      <c r="C340" s="19" t="inlineStr">
        <is>
          <t>unidad</t>
        </is>
      </c>
      <c r="D340" s="19" t="n"/>
      <c r="E340" s="19" t="n">
        <v>359</v>
      </c>
    </row>
    <row r="341">
      <c r="A341" s="19" t="n">
        <v>360</v>
      </c>
      <c r="B341" s="19" t="inlineStr">
        <is>
          <t>Alistamiento racim. blanca</t>
        </is>
      </c>
      <c r="C341" s="19" t="inlineStr">
        <is>
          <t>unidad</t>
        </is>
      </c>
      <c r="D341" s="19" t="n"/>
      <c r="E341" s="19" t="n">
        <v>360</v>
      </c>
    </row>
    <row r="342">
      <c r="A342" s="19" t="n">
        <v>361</v>
      </c>
      <c r="B342" s="19" t="inlineStr">
        <is>
          <t>Alistamiento racim. amarilla</t>
        </is>
      </c>
      <c r="C342" s="19" t="inlineStr">
        <is>
          <t>unidad</t>
        </is>
      </c>
      <c r="D342" s="19" t="n"/>
      <c r="E342" s="19" t="n">
        <v>361</v>
      </c>
    </row>
    <row r="343">
      <c r="A343" s="19" t="n">
        <v>362</v>
      </c>
      <c r="B343" s="19" t="inlineStr">
        <is>
          <t>Alistamiento racim. morada</t>
        </is>
      </c>
      <c r="C343" s="19" t="inlineStr">
        <is>
          <t>unidad</t>
        </is>
      </c>
      <c r="D343" s="19" t="n"/>
      <c r="E343" s="19" t="n">
        <v>362</v>
      </c>
    </row>
    <row r="344">
      <c r="A344" s="19" t="n">
        <v>363</v>
      </c>
      <c r="B344" s="19" t="inlineStr">
        <is>
          <t>Alistamiento racim. roja</t>
        </is>
      </c>
      <c r="C344" s="19" t="inlineStr">
        <is>
          <t>unidad</t>
        </is>
      </c>
      <c r="D344" s="19" t="n"/>
      <c r="E344" s="19" t="n">
        <v>363</v>
      </c>
    </row>
    <row r="345">
      <c r="A345" s="19" t="n">
        <v>364</v>
      </c>
      <c r="B345" s="19" t="inlineStr">
        <is>
          <t>Siembra de meristemos</t>
        </is>
      </c>
      <c r="C345" s="19" t="inlineStr">
        <is>
          <t>hora</t>
        </is>
      </c>
      <c r="D345" s="19" t="n"/>
      <c r="E345" s="19" t="n">
        <v>364</v>
      </c>
    </row>
    <row r="346">
      <c r="A346" s="19" t="n">
        <v>365</v>
      </c>
      <c r="B346" s="19" t="inlineStr">
        <is>
          <t>Mantenimiento de riego proyecto</t>
        </is>
      </c>
      <c r="C346" s="19" t="inlineStr">
        <is>
          <t>hora</t>
        </is>
      </c>
      <c r="D346" s="19" t="n"/>
      <c r="E346" s="19" t="n">
        <v>365</v>
      </c>
    </row>
    <row r="347">
      <c r="A347" s="19" t="n">
        <v>366</v>
      </c>
      <c r="B347" s="19" t="inlineStr">
        <is>
          <t>Tapada de tuberia proyecto</t>
        </is>
      </c>
      <c r="C347" s="19" t="inlineStr">
        <is>
          <t>hora</t>
        </is>
      </c>
      <c r="D347" s="19" t="n"/>
      <c r="E347" s="19" t="n">
        <v>366</v>
      </c>
    </row>
    <row r="348">
      <c r="A348" s="19" t="n">
        <v>367</v>
      </c>
      <c r="B348" s="19" t="inlineStr">
        <is>
          <t>Limpia con guadaña proyecto</t>
        </is>
      </c>
      <c r="C348" s="19" t="inlineStr">
        <is>
          <t>hectarea</t>
        </is>
      </c>
      <c r="D348" s="19" t="n"/>
      <c r="E348" s="19" t="n">
        <v>367</v>
      </c>
    </row>
    <row r="349">
      <c r="A349" s="19" t="n">
        <v>368</v>
      </c>
      <c r="B349" s="19" t="inlineStr">
        <is>
          <t>Ganaderia</t>
        </is>
      </c>
      <c r="C349" s="19" t="inlineStr">
        <is>
          <t>hora</t>
        </is>
      </c>
      <c r="D349" s="19" t="n"/>
      <c r="E349" s="19" t="n">
        <v>368</v>
      </c>
    </row>
    <row r="350">
      <c r="A350" s="19" t="n">
        <v>369</v>
      </c>
      <c r="B350" s="19" t="inlineStr">
        <is>
          <t>Recogida en acopio</t>
        </is>
      </c>
      <c r="C350" s="19" t="inlineStr">
        <is>
          <t>tonelada</t>
        </is>
      </c>
      <c r="D350" s="19" t="n"/>
      <c r="E350" s="19" t="n">
        <v>369</v>
      </c>
    </row>
    <row r="351">
      <c r="A351" s="19" t="n">
        <v>370</v>
      </c>
      <c r="B351" s="19" t="inlineStr">
        <is>
          <t>Proteccion quema de sol al dia</t>
        </is>
      </c>
      <c r="C351" s="19" t="inlineStr">
        <is>
          <t>hora</t>
        </is>
      </c>
      <c r="D351" s="19" t="n"/>
      <c r="E351" s="19" t="n">
        <v>370</v>
      </c>
    </row>
    <row r="352">
      <c r="A352" s="19" t="n">
        <v>371</v>
      </c>
      <c r="B352" s="19" t="inlineStr">
        <is>
          <t>Descargue de bloques</t>
        </is>
      </c>
      <c r="C352" s="19" t="inlineStr">
        <is>
          <t>hora</t>
        </is>
      </c>
      <c r="D352" s="19" t="n"/>
      <c r="E352" s="19" t="n">
        <v>371</v>
      </c>
    </row>
    <row r="353">
      <c r="A353" s="19" t="n">
        <v>372</v>
      </c>
      <c r="B353" s="19" t="inlineStr">
        <is>
          <t>Estirada de manguera proyecto</t>
        </is>
      </c>
      <c r="C353" s="19" t="inlineStr">
        <is>
          <t>hora</t>
        </is>
      </c>
      <c r="D353" s="19" t="n"/>
      <c r="E353" s="19" t="n">
        <v>372</v>
      </c>
    </row>
    <row r="354">
      <c r="A354" s="19" t="n">
        <v>373</v>
      </c>
      <c r="B354" s="19" t="inlineStr">
        <is>
          <t>Aplicacion foliar plantilla</t>
        </is>
      </c>
      <c r="C354" s="19" t="inlineStr">
        <is>
          <t>hora</t>
        </is>
      </c>
      <c r="D354" s="19" t="n"/>
      <c r="E354" s="19" t="n">
        <v>373</v>
      </c>
    </row>
    <row r="355">
      <c r="A355" s="19" t="n">
        <v>374</v>
      </c>
      <c r="B355" s="19" t="inlineStr">
        <is>
          <t>Coordinador general zona sur</t>
        </is>
      </c>
      <c r="C355" s="19" t="inlineStr">
        <is>
          <t>hora</t>
        </is>
      </c>
      <c r="D355" s="19" t="n"/>
      <c r="E355" s="19" t="n">
        <v>374</v>
      </c>
    </row>
    <row r="356">
      <c r="A356" s="19" t="n">
        <v>375</v>
      </c>
      <c r="B356" s="19" t="inlineStr">
        <is>
          <t>Poda de palma</t>
        </is>
      </c>
      <c r="C356" s="19" t="inlineStr">
        <is>
          <t>palma</t>
        </is>
      </c>
      <c r="D356" s="19" t="n"/>
      <c r="E356" s="19" t="n">
        <v>375</v>
      </c>
    </row>
    <row r="357">
      <c r="A357" s="19" t="n">
        <v>376</v>
      </c>
      <c r="B357" s="19" t="inlineStr">
        <is>
          <t>Limpia con guadaña festivo</t>
        </is>
      </c>
      <c r="C357" s="19" t="inlineStr">
        <is>
          <t>hectarea</t>
        </is>
      </c>
      <c r="D357" s="19" t="n"/>
      <c r="E357" s="19" t="n">
        <v>376</v>
      </c>
    </row>
    <row r="358">
      <c r="A358" s="19" t="n">
        <v>377</v>
      </c>
      <c r="B358" s="19" t="inlineStr">
        <is>
          <t>Limpia con guadaña plantilla festivo al dia</t>
        </is>
      </c>
      <c r="C358" s="19" t="inlineStr">
        <is>
          <t>hora</t>
        </is>
      </c>
      <c r="D358" s="19" t="n"/>
      <c r="E358" s="19" t="n">
        <v>377</v>
      </c>
    </row>
    <row r="359">
      <c r="A359" s="19" t="n">
        <v>378</v>
      </c>
      <c r="B359" s="19" t="inlineStr">
        <is>
          <t>Limpia a machete empacadora</t>
        </is>
      </c>
      <c r="C359" s="19" t="inlineStr">
        <is>
          <t>hora</t>
        </is>
      </c>
      <c r="D359" s="19" t="n"/>
      <c r="E359" s="19" t="n">
        <v>378</v>
      </c>
    </row>
    <row r="360">
      <c r="A360" s="19" t="n">
        <v>379</v>
      </c>
      <c r="B360" s="19" t="inlineStr">
        <is>
          <t>Plateo con guadaña al dia</t>
        </is>
      </c>
      <c r="C360" s="19" t="inlineStr">
        <is>
          <t>hora</t>
        </is>
      </c>
      <c r="D360" s="19" t="n"/>
      <c r="E360" s="19" t="n">
        <v>379</v>
      </c>
    </row>
    <row r="361">
      <c r="A361" s="19" t="n">
        <v>380</v>
      </c>
      <c r="B361" s="19" t="inlineStr">
        <is>
          <t>Plateo quimico</t>
        </is>
      </c>
      <c r="C361" s="19" t="inlineStr">
        <is>
          <t>hora</t>
        </is>
      </c>
      <c r="D361" s="19" t="n"/>
      <c r="E361" s="19" t="n">
        <v>380</v>
      </c>
    </row>
    <row r="362">
      <c r="A362" s="19" t="n">
        <v>381</v>
      </c>
      <c r="B362" s="19" t="inlineStr">
        <is>
          <t>Levante de manguera proyecto</t>
        </is>
      </c>
      <c r="C362" s="19" t="inlineStr">
        <is>
          <t>hora</t>
        </is>
      </c>
      <c r="D362" s="19" t="n"/>
      <c r="E362" s="19" t="n">
        <v>381</v>
      </c>
    </row>
    <row r="363">
      <c r="A363" s="19" t="n">
        <v>382</v>
      </c>
      <c r="B363" s="19" t="inlineStr">
        <is>
          <t>Caciqueo plantilla proyecto</t>
        </is>
      </c>
      <c r="C363" s="19" t="inlineStr">
        <is>
          <t>hora</t>
        </is>
      </c>
      <c r="D363" s="19" t="n"/>
      <c r="E363" s="19" t="n">
        <v>382</v>
      </c>
    </row>
    <row r="364">
      <c r="A364" s="19" t="n">
        <v>383</v>
      </c>
      <c r="B364" s="19" t="inlineStr">
        <is>
          <t>Realce plantilla proyecto</t>
        </is>
      </c>
      <c r="C364" s="19" t="inlineStr">
        <is>
          <t>hora</t>
        </is>
      </c>
      <c r="D364" s="19" t="n"/>
      <c r="E364" s="19" t="n">
        <v>383</v>
      </c>
    </row>
    <row r="365">
      <c r="A365" s="19" t="n">
        <v>384</v>
      </c>
      <c r="B365" s="19" t="inlineStr">
        <is>
          <t>Limpia con guadaña proyecto al dia</t>
        </is>
      </c>
      <c r="C365" s="19" t="inlineStr">
        <is>
          <t>hora</t>
        </is>
      </c>
      <c r="D365" s="19" t="n"/>
      <c r="E365" s="19" t="n">
        <v>384</v>
      </c>
    </row>
    <row r="366">
      <c r="A366" s="19" t="n">
        <v>385</v>
      </c>
      <c r="B366" s="19" t="inlineStr">
        <is>
          <t>Aplicacion de fertilizante proyecto por hora</t>
        </is>
      </c>
      <c r="C366" s="19" t="inlineStr">
        <is>
          <t>hora</t>
        </is>
      </c>
      <c r="D366" s="19" t="n"/>
      <c r="E366" s="19" t="n">
        <v>385</v>
      </c>
    </row>
    <row r="367">
      <c r="A367" s="19" t="n">
        <v>386</v>
      </c>
      <c r="B367" s="19" t="inlineStr">
        <is>
          <t>Limpia de reservorio</t>
        </is>
      </c>
      <c r="C367" s="19" t="inlineStr">
        <is>
          <t>hora</t>
        </is>
      </c>
      <c r="D367" s="19" t="n"/>
      <c r="E367" s="19" t="n">
        <v>386</v>
      </c>
    </row>
    <row r="368">
      <c r="A368" s="19" t="n">
        <v>387</v>
      </c>
      <c r="B368" s="19" t="inlineStr">
        <is>
          <t>Tiempo de espera fumigacion</t>
        </is>
      </c>
      <c r="C368" s="19" t="inlineStr">
        <is>
          <t>hora</t>
        </is>
      </c>
      <c r="D368" s="19" t="n"/>
      <c r="E368" s="19" t="n">
        <v>387</v>
      </c>
    </row>
    <row r="369">
      <c r="A369" s="19" t="n">
        <v>388</v>
      </c>
      <c r="B369" s="19" t="inlineStr">
        <is>
          <t>Limpia con guadaña proyecto al dia festivo</t>
        </is>
      </c>
      <c r="C369" s="19" t="inlineStr">
        <is>
          <t>hora</t>
        </is>
      </c>
      <c r="D369" s="19" t="n"/>
      <c r="E369" s="19" t="n">
        <v>388</v>
      </c>
    </row>
    <row r="370">
      <c r="A370" s="19" t="n">
        <v>389</v>
      </c>
      <c r="B370" s="19" t="inlineStr">
        <is>
          <t>Deshermane festivo</t>
        </is>
      </c>
      <c r="C370" s="19" t="inlineStr">
        <is>
          <t>hectarea</t>
        </is>
      </c>
      <c r="D370" s="19" t="n"/>
      <c r="E370" s="19" t="n">
        <v>389</v>
      </c>
    </row>
    <row r="371">
      <c r="A371" s="19" t="n">
        <v>390</v>
      </c>
      <c r="B371" s="19" t="inlineStr">
        <is>
          <t>Recogida de manguera proyecto</t>
        </is>
      </c>
      <c r="C371" s="19" t="inlineStr">
        <is>
          <t>hora</t>
        </is>
      </c>
      <c r="D371" s="19" t="n"/>
      <c r="E371" s="19" t="n">
        <v>390</v>
      </c>
    </row>
    <row r="372">
      <c r="A372" s="19" t="n">
        <v>391</v>
      </c>
      <c r="B372" s="19" t="inlineStr">
        <is>
          <t>Marcacion torres campo</t>
        </is>
      </c>
      <c r="C372" s="19" t="inlineStr">
        <is>
          <t>hora</t>
        </is>
      </c>
      <c r="D372" s="19" t="n"/>
      <c r="E372" s="19" t="n">
        <v>391</v>
      </c>
    </row>
    <row r="373">
      <c r="A373" s="19" t="n">
        <v>392</v>
      </c>
      <c r="B373" s="19" t="inlineStr">
        <is>
          <t>Lavada de yumbolon</t>
        </is>
      </c>
      <c r="C373" s="19" t="inlineStr">
        <is>
          <t>hora</t>
        </is>
      </c>
      <c r="D373" s="19" t="n"/>
      <c r="E373" s="19" t="n">
        <v>392</v>
      </c>
    </row>
    <row r="374">
      <c r="A374" s="19" t="n">
        <v>393</v>
      </c>
      <c r="B374" s="19" t="inlineStr">
        <is>
          <t>Cablero festivo</t>
        </is>
      </c>
      <c r="C374" s="19" t="inlineStr">
        <is>
          <t>hora</t>
        </is>
      </c>
      <c r="D374" s="19" t="n"/>
      <c r="E374" s="19" t="n">
        <v>393</v>
      </c>
    </row>
    <row r="375">
      <c r="A375" s="19" t="n">
        <v>394</v>
      </c>
      <c r="B375" s="19" t="inlineStr">
        <is>
          <t>Levante de manguera festivo</t>
        </is>
      </c>
      <c r="C375" s="19" t="inlineStr">
        <is>
          <t>hora</t>
        </is>
      </c>
      <c r="D375" s="19" t="n"/>
      <c r="E375" s="19" t="n">
        <v>394</v>
      </c>
    </row>
    <row r="376">
      <c r="A376" s="19" t="n">
        <v>395</v>
      </c>
      <c r="B376" s="19" t="inlineStr">
        <is>
          <t>Levante de manguera plantilla festivo</t>
        </is>
      </c>
      <c r="C376" s="19" t="inlineStr">
        <is>
          <t>hora</t>
        </is>
      </c>
      <c r="D376" s="19" t="n"/>
      <c r="E376" s="19" t="n">
        <v>395</v>
      </c>
    </row>
    <row r="377">
      <c r="A377" s="19" t="n">
        <v>396</v>
      </c>
      <c r="B377" s="19" t="inlineStr">
        <is>
          <t>Levante de manguera proyecto festivo</t>
        </is>
      </c>
      <c r="C377" s="19" t="inlineStr">
        <is>
          <t>hora</t>
        </is>
      </c>
      <c r="D377" s="19" t="n"/>
      <c r="E377" s="19" t="n">
        <v>396</v>
      </c>
    </row>
    <row r="378">
      <c r="A378" s="19" t="n">
        <v>397</v>
      </c>
      <c r="B378" s="19" t="inlineStr">
        <is>
          <t>Caja empacadora rechazada</t>
        </is>
      </c>
      <c r="C378" s="19" t="inlineStr">
        <is>
          <t>unidad</t>
        </is>
      </c>
      <c r="D378" s="19" t="n"/>
      <c r="E378" s="19" t="n">
        <v>397</v>
      </c>
    </row>
    <row r="379">
      <c r="A379" s="19" t="n">
        <v>398</v>
      </c>
      <c r="B379" s="19" t="inlineStr">
        <is>
          <t>Caja promedio empacadora rechazada</t>
        </is>
      </c>
      <c r="C379" s="19" t="inlineStr">
        <is>
          <t>unidad</t>
        </is>
      </c>
      <c r="D379" s="19" t="n"/>
      <c r="E379" s="19" t="n">
        <v>398</v>
      </c>
    </row>
    <row r="380">
      <c r="A380" s="19" t="n">
        <v>399</v>
      </c>
      <c r="B380" s="19" t="inlineStr">
        <is>
          <t>Caja campo rechazada</t>
        </is>
      </c>
      <c r="C380" s="19" t="inlineStr">
        <is>
          <t>unidad</t>
        </is>
      </c>
      <c r="D380" s="19" t="n"/>
      <c r="E380" s="19" t="n">
        <v>399</v>
      </c>
    </row>
    <row r="381">
      <c r="A381" s="19" t="n">
        <v>400</v>
      </c>
      <c r="B381" s="19" t="inlineStr">
        <is>
          <t>Caja promedio campo rechazada</t>
        </is>
      </c>
      <c r="C381" s="19" t="inlineStr">
        <is>
          <t>unidad</t>
        </is>
      </c>
      <c r="D381" s="19" t="n"/>
      <c r="E381" s="19" t="n">
        <v>400</v>
      </c>
    </row>
    <row r="382">
      <c r="A382" s="19" t="n">
        <v>401</v>
      </c>
      <c r="B382" s="19" t="inlineStr">
        <is>
          <t>Recuperacion de yumbolon</t>
        </is>
      </c>
      <c r="C382" s="19" t="inlineStr">
        <is>
          <t>hora</t>
        </is>
      </c>
      <c r="D382" s="19" t="n"/>
      <c r="E382" s="19" t="n">
        <v>401</v>
      </c>
    </row>
    <row r="383">
      <c r="A383" s="19" t="n">
        <v>402</v>
      </c>
      <c r="B383" s="19" t="inlineStr">
        <is>
          <t>Deshermane al dia</t>
        </is>
      </c>
      <c r="C383" s="19" t="inlineStr">
        <is>
          <t>hora</t>
        </is>
      </c>
      <c r="D383" s="19" t="n"/>
      <c r="E383" s="19" t="n">
        <v>402</v>
      </c>
    </row>
    <row r="384">
      <c r="A384" s="19" t="n">
        <v>403</v>
      </c>
      <c r="B384" s="19" t="inlineStr">
        <is>
          <t>Aplicacion de fertilizante plantilla</t>
        </is>
      </c>
      <c r="C384" s="19" t="inlineStr">
        <is>
          <t>bulto</t>
        </is>
      </c>
      <c r="D384" s="19" t="n"/>
      <c r="E384" s="19" t="n">
        <v>403</v>
      </c>
    </row>
    <row r="385">
      <c r="A385" s="19" t="n">
        <v>404</v>
      </c>
      <c r="B385" s="19" t="inlineStr">
        <is>
          <t>Bioseguridad</t>
        </is>
      </c>
      <c r="C385" s="19" t="inlineStr">
        <is>
          <t>hora</t>
        </is>
      </c>
      <c r="D385" s="19" t="n"/>
      <c r="E385" s="19" t="n">
        <v>404</v>
      </c>
    </row>
    <row r="386">
      <c r="A386" s="19" t="n">
        <v>405</v>
      </c>
      <c r="B386" s="19" t="inlineStr">
        <is>
          <t>Cargue de cajas h.e.d.</t>
        </is>
      </c>
      <c r="C386" s="19" t="inlineStr">
        <is>
          <t>hora</t>
        </is>
      </c>
      <c r="D386" s="19" t="n"/>
      <c r="E386" s="19" t="n">
        <v>405</v>
      </c>
    </row>
    <row r="387">
      <c r="A387" s="19" t="n">
        <v>406</v>
      </c>
      <c r="B387" s="19" t="inlineStr">
        <is>
          <t>Regada de gravilla</t>
        </is>
      </c>
      <c r="C387" s="19" t="inlineStr">
        <is>
          <t>hora</t>
        </is>
      </c>
      <c r="D387" s="19" t="n"/>
      <c r="E387" s="19" t="n">
        <v>406</v>
      </c>
    </row>
    <row r="388">
      <c r="A388" s="19" t="n">
        <v>407</v>
      </c>
      <c r="B388" s="19" t="inlineStr">
        <is>
          <t>Erradicacion foc</t>
        </is>
      </c>
      <c r="C388" s="19" t="inlineStr">
        <is>
          <t>hora</t>
        </is>
      </c>
      <c r="D388" s="19" t="n"/>
      <c r="E388" s="19" t="n">
        <v>407</v>
      </c>
    </row>
    <row r="389">
      <c r="A389" s="19" t="n">
        <v>408</v>
      </c>
      <c r="B389" s="19" t="inlineStr">
        <is>
          <t>Descargue de materiales h.e.n.</t>
        </is>
      </c>
      <c r="C389" s="19" t="inlineStr">
        <is>
          <t>hora</t>
        </is>
      </c>
      <c r="D389" s="19" t="n"/>
      <c r="E389" s="19" t="n">
        <v>408</v>
      </c>
    </row>
    <row r="390">
      <c r="A390" s="19" t="n">
        <v>409</v>
      </c>
      <c r="B390" s="19" t="inlineStr">
        <is>
          <t>Descargue de carton h.e.d.</t>
        </is>
      </c>
      <c r="C390" s="19" t="inlineStr">
        <is>
          <t>hora</t>
        </is>
      </c>
      <c r="D390" s="19" t="n"/>
      <c r="E390" s="19" t="n">
        <v>409</v>
      </c>
    </row>
    <row r="391">
      <c r="A391" s="19" t="n">
        <v>410</v>
      </c>
      <c r="B391" s="19" t="inlineStr">
        <is>
          <t>Aplicacion de trichoderma</t>
        </is>
      </c>
      <c r="C391" s="19" t="inlineStr">
        <is>
          <t>hora</t>
        </is>
      </c>
      <c r="D391" s="19" t="n"/>
      <c r="E391" s="19" t="n">
        <v>410</v>
      </c>
    </row>
    <row r="392">
      <c r="A392" s="19" t="n">
        <v>411</v>
      </c>
      <c r="B392" s="19" t="inlineStr">
        <is>
          <t>Descargue de insumos h.e.d.</t>
        </is>
      </c>
      <c r="C392" s="19" t="inlineStr">
        <is>
          <t>hora</t>
        </is>
      </c>
      <c r="D392" s="19" t="n"/>
      <c r="E392" s="19" t="n">
        <v>411</v>
      </c>
    </row>
    <row r="393">
      <c r="A393" s="19" t="n">
        <v>412</v>
      </c>
      <c r="B393" s="19" t="inlineStr">
        <is>
          <t>Amarre y desflore</t>
        </is>
      </c>
      <c r="C393" s="19" t="inlineStr">
        <is>
          <t>hora</t>
        </is>
      </c>
      <c r="D393" s="19" t="n"/>
      <c r="E393" s="19" t="n">
        <v>412</v>
      </c>
    </row>
    <row r="394">
      <c r="A394" s="19" t="n">
        <v>413</v>
      </c>
      <c r="B394" s="19" t="inlineStr">
        <is>
          <t>Aplicacion de cal</t>
        </is>
      </c>
      <c r="C394" s="19" t="inlineStr">
        <is>
          <t>hora</t>
        </is>
      </c>
      <c r="D394" s="19" t="n"/>
      <c r="E394" s="19" t="n">
        <v>413</v>
      </c>
    </row>
    <row r="395">
      <c r="A395" s="19" t="n">
        <v>414</v>
      </c>
      <c r="B395" s="19" t="inlineStr">
        <is>
          <t>Asistente de contabilidad</t>
        </is>
      </c>
      <c r="C395" s="19" t="inlineStr">
        <is>
          <t>dia</t>
        </is>
      </c>
      <c r="D395" s="19" t="n"/>
      <c r="E395" s="19" t="n">
        <v>414</v>
      </c>
    </row>
    <row r="396">
      <c r="A396" s="19" t="n">
        <v>415</v>
      </c>
      <c r="B396" s="19" t="inlineStr">
        <is>
          <t>Auxilio de rodamiento adm</t>
        </is>
      </c>
      <c r="C396" s="19" t="inlineStr">
        <is>
          <t>dia</t>
        </is>
      </c>
      <c r="D396" s="19" t="n"/>
      <c r="E396" s="19" t="n">
        <v>415</v>
      </c>
    </row>
    <row r="397">
      <c r="A397" s="19" t="n">
        <v>416</v>
      </c>
      <c r="B397" s="19" t="inlineStr">
        <is>
          <t>Auxilio de transporte adm</t>
        </is>
      </c>
      <c r="C397" s="19" t="inlineStr">
        <is>
          <t>dia</t>
        </is>
      </c>
      <c r="D397" s="19" t="n"/>
      <c r="E397" s="19" t="n">
        <v>416</v>
      </c>
    </row>
    <row r="398">
      <c r="A398" s="19" t="n">
        <v>417</v>
      </c>
      <c r="B398" s="19" t="inlineStr">
        <is>
          <t>Chapia de canal con guadaña al dia</t>
        </is>
      </c>
      <c r="C398" s="19" t="inlineStr">
        <is>
          <t>hora</t>
        </is>
      </c>
      <c r="D398" s="19" t="n"/>
      <c r="E398" s="19" t="n">
        <v>417</v>
      </c>
    </row>
    <row r="399">
      <c r="A399" s="19" t="n">
        <v>418</v>
      </c>
      <c r="B399" s="19" t="inlineStr">
        <is>
          <t>Embolse y desflore al dia</t>
        </is>
      </c>
      <c r="C399" s="19" t="inlineStr">
        <is>
          <t>hora</t>
        </is>
      </c>
      <c r="D399" s="19" t="n"/>
      <c r="E399" s="19" t="n">
        <v>418</v>
      </c>
    </row>
    <row r="400">
      <c r="A400" s="19" t="n">
        <v>419</v>
      </c>
      <c r="B400" s="19" t="inlineStr">
        <is>
          <t>Amarre y reamarre al dia</t>
        </is>
      </c>
      <c r="C400" s="19" t="inlineStr">
        <is>
          <t>hora</t>
        </is>
      </c>
      <c r="D400" s="19" t="n"/>
      <c r="E400" s="19" t="n">
        <v>419</v>
      </c>
    </row>
    <row r="401">
      <c r="A401" s="21" t="n">
        <v>420</v>
      </c>
      <c r="B401" s="21" t="inlineStr">
        <is>
          <t>Soldadura</t>
        </is>
      </c>
      <c r="C401" s="19" t="inlineStr">
        <is>
          <t>hora</t>
        </is>
      </c>
      <c r="E401" s="19" t="n">
        <v>420</v>
      </c>
    </row>
    <row r="402">
      <c r="A402" s="21" t="n">
        <v>421</v>
      </c>
      <c r="B402" s="21" t="inlineStr">
        <is>
          <t>Gerente de produccion</t>
        </is>
      </c>
      <c r="C402" s="19" t="inlineStr">
        <is>
          <t>hora</t>
        </is>
      </c>
      <c r="E402" s="19" t="n">
        <v>421</v>
      </c>
    </row>
    <row r="403">
      <c r="A403" s="21" t="n">
        <v>422</v>
      </c>
      <c r="B403" s="21" t="inlineStr">
        <is>
          <t>Pendiente pago incapacidad</t>
        </is>
      </c>
      <c r="C403" s="19" t="inlineStr">
        <is>
          <t>hora</t>
        </is>
      </c>
      <c r="E403" s="19" t="n">
        <v>422</v>
      </c>
    </row>
    <row r="404">
      <c r="A404" s="21" t="n">
        <v>423</v>
      </c>
      <c r="B404" s="21" t="inlineStr">
        <is>
          <t>Acarreo de madera</t>
        </is>
      </c>
      <c r="C404" s="19" t="inlineStr">
        <is>
          <t>hora</t>
        </is>
      </c>
      <c r="E404" s="19" t="n">
        <v>423</v>
      </c>
    </row>
    <row r="405">
      <c r="A405" s="21" t="n">
        <v>424</v>
      </c>
      <c r="B405" s="21" t="inlineStr">
        <is>
          <t>Viaje camion</t>
        </is>
      </c>
      <c r="C405" s="19" t="inlineStr">
        <is>
          <t>dia</t>
        </is>
      </c>
      <c r="E405" s="19" t="n">
        <v>424</v>
      </c>
    </row>
    <row r="406">
      <c r="A406" s="21" t="n">
        <v>425</v>
      </c>
      <c r="B406" s="21" t="inlineStr">
        <is>
          <t>Viaje tractomula</t>
        </is>
      </c>
      <c r="C406" s="19" t="inlineStr">
        <is>
          <t>dia</t>
        </is>
      </c>
      <c r="E406" s="19" t="n">
        <v>425</v>
      </c>
    </row>
    <row r="407">
      <c r="A407" s="21" t="n">
        <v>426</v>
      </c>
      <c r="B407" s="21" t="inlineStr">
        <is>
          <t>Llenada de saco de materia organica</t>
        </is>
      </c>
      <c r="C407" s="19" t="inlineStr">
        <is>
          <t>hora</t>
        </is>
      </c>
      <c r="E407" s="19" t="n">
        <v>426</v>
      </c>
    </row>
    <row r="408">
      <c r="A408" s="21" t="n">
        <v>427</v>
      </c>
      <c r="B408" s="21" t="inlineStr">
        <is>
          <t>Desvare de contenedor h.e.d.</t>
        </is>
      </c>
      <c r="C408" s="19" t="inlineStr">
        <is>
          <t>hora</t>
        </is>
      </c>
      <c r="E408" s="19" t="n">
        <v>427</v>
      </c>
    </row>
    <row r="409">
      <c r="A409" s="21" t="n">
        <v>428</v>
      </c>
      <c r="B409" s="21" t="inlineStr">
        <is>
          <t>Celaduria porton h.e.d.</t>
        </is>
      </c>
      <c r="C409" s="19" t="inlineStr">
        <is>
          <t>hora</t>
        </is>
      </c>
      <c r="E409" s="19" t="n">
        <v>428</v>
      </c>
    </row>
    <row r="410">
      <c r="A410" s="21" t="n">
        <v>429</v>
      </c>
      <c r="B410" s="21" t="inlineStr">
        <is>
          <t>Resiembra de semillas</t>
        </is>
      </c>
      <c r="C410" s="19" t="inlineStr">
        <is>
          <t>unidad</t>
        </is>
      </c>
      <c r="E410" s="19" t="n">
        <v>429</v>
      </c>
    </row>
    <row r="411">
      <c r="A411" s="21" t="n">
        <v>430</v>
      </c>
      <c r="B411" s="21" t="inlineStr">
        <is>
          <t>Reunion administrativa</t>
        </is>
      </c>
      <c r="C411" s="19" t="inlineStr">
        <is>
          <t>hora</t>
        </is>
      </c>
      <c r="E411" s="19" t="n">
        <v>430</v>
      </c>
    </row>
    <row r="412">
      <c r="A412" s="21" t="n">
        <v>431</v>
      </c>
      <c r="B412" s="21" t="inlineStr">
        <is>
          <t>Recogida de gravilla</t>
        </is>
      </c>
      <c r="C412" s="19" t="inlineStr">
        <is>
          <t>hora</t>
        </is>
      </c>
      <c r="E412" s="19" t="n">
        <v>431</v>
      </c>
    </row>
    <row r="413">
      <c r="A413" s="21" t="n">
        <v>432</v>
      </c>
      <c r="B413" s="21" t="inlineStr">
        <is>
          <t>Corte empacadora festivo</t>
        </is>
      </c>
      <c r="C413" s="19" t="inlineStr">
        <is>
          <t>unidad</t>
        </is>
      </c>
      <c r="E413" s="19" t="n">
        <v>432</v>
      </c>
    </row>
    <row r="414">
      <c r="A414" s="21" t="n">
        <v>433</v>
      </c>
      <c r="B414" s="21" t="inlineStr">
        <is>
          <t>Corte promedio empacadora festivo</t>
        </is>
      </c>
      <c r="C414" s="19" t="inlineStr">
        <is>
          <t>unidad</t>
        </is>
      </c>
      <c r="E414" s="19" t="n">
        <v>433</v>
      </c>
    </row>
    <row r="415">
      <c r="A415" s="21" t="n">
        <v>434</v>
      </c>
      <c r="B415" s="21" t="inlineStr">
        <is>
          <t>Corte campo festivo</t>
        </is>
      </c>
      <c r="C415" s="19" t="inlineStr">
        <is>
          <t>unidad</t>
        </is>
      </c>
      <c r="E415" s="19" t="n">
        <v>434</v>
      </c>
    </row>
    <row r="416">
      <c r="A416" s="21" t="n">
        <v>435</v>
      </c>
      <c r="B416" s="21" t="inlineStr">
        <is>
          <t>Corte promedio campo festivo</t>
        </is>
      </c>
      <c r="C416" s="19" t="inlineStr">
        <is>
          <t>unidad</t>
        </is>
      </c>
      <c r="E416" s="19" t="n">
        <v>435</v>
      </c>
    </row>
    <row r="417">
      <c r="A417" s="21" t="n">
        <v>436</v>
      </c>
      <c r="B417" s="21" t="inlineStr">
        <is>
          <t>Acarreo de cal agricola</t>
        </is>
      </c>
      <c r="C417" s="19" t="inlineStr">
        <is>
          <t>hora</t>
        </is>
      </c>
      <c r="E417" s="19" t="n">
        <v>436</v>
      </c>
    </row>
    <row r="418">
      <c r="A418" s="21" t="n">
        <v>437</v>
      </c>
      <c r="B418" s="21" t="inlineStr">
        <is>
          <t>Celaduria porton festivo h.e.d.</t>
        </is>
      </c>
      <c r="C418" s="19" t="inlineStr">
        <is>
          <t>hora</t>
        </is>
      </c>
      <c r="E418" s="19" t="n">
        <v>437</v>
      </c>
    </row>
    <row r="419">
      <c r="A419" s="21" t="n">
        <v>438</v>
      </c>
      <c r="B419" s="21" t="inlineStr">
        <is>
          <t>Recoleccion de antenas</t>
        </is>
      </c>
      <c r="C419" s="19" t="inlineStr">
        <is>
          <t>hora</t>
        </is>
      </c>
      <c r="E419" s="19" t="n">
        <v>438</v>
      </c>
    </row>
    <row r="420">
      <c r="A420" s="21" t="n">
        <v>439</v>
      </c>
      <c r="B420" s="21" t="inlineStr">
        <is>
          <t>Auxiliar de campo festivo</t>
        </is>
      </c>
      <c r="C420" s="19" t="inlineStr">
        <is>
          <t>hora</t>
        </is>
      </c>
      <c r="E420" s="19" t="n">
        <v>439</v>
      </c>
    </row>
    <row r="421">
      <c r="A421" s="21" t="n">
        <v>440</v>
      </c>
      <c r="B421" s="21" t="inlineStr">
        <is>
          <t>Celaduria dominical h.e.d.</t>
        </is>
      </c>
      <c r="C421" s="19" t="inlineStr">
        <is>
          <t>hora</t>
        </is>
      </c>
      <c r="E421" s="19" t="n">
        <v>440</v>
      </c>
    </row>
    <row r="422">
      <c r="A422" s="21" t="n">
        <v>441</v>
      </c>
      <c r="B422" s="21" t="inlineStr">
        <is>
          <t>Celaduria festivo h.e.d.</t>
        </is>
      </c>
      <c r="C422" s="19" t="inlineStr">
        <is>
          <t>hora</t>
        </is>
      </c>
      <c r="E422" s="19" t="n">
        <v>441</v>
      </c>
    </row>
    <row r="423">
      <c r="A423" s="21" t="n">
        <v>442</v>
      </c>
      <c r="B423" s="21" t="inlineStr">
        <is>
          <t>Reciclaje de bolsas</t>
        </is>
      </c>
      <c r="C423" s="19" t="inlineStr">
        <is>
          <t>unidad</t>
        </is>
      </c>
      <c r="E423" s="19" t="n">
        <v>442</v>
      </c>
    </row>
    <row r="424">
      <c r="A424" s="21" t="n">
        <v>443</v>
      </c>
      <c r="B424" s="21" t="inlineStr">
        <is>
          <t>Recogida de tuberias</t>
        </is>
      </c>
      <c r="C424" s="19" t="inlineStr">
        <is>
          <t>hora</t>
        </is>
      </c>
      <c r="E424" s="19" t="n">
        <v>443</v>
      </c>
    </row>
    <row r="425">
      <c r="A425" s="21" t="n">
        <v>444</v>
      </c>
      <c r="B425" s="21" t="inlineStr">
        <is>
          <t>Control de maleza</t>
        </is>
      </c>
      <c r="C425" s="19" t="inlineStr">
        <is>
          <t>hectarea</t>
        </is>
      </c>
      <c r="E425" s="19" t="n">
        <v>444</v>
      </c>
    </row>
    <row r="426">
      <c r="A426" s="21" t="n">
        <v>445</v>
      </c>
      <c r="B426" s="21" t="inlineStr">
        <is>
          <t>Control de maleza al dia</t>
        </is>
      </c>
      <c r="C426" s="19" t="inlineStr">
        <is>
          <t>hora</t>
        </is>
      </c>
      <c r="E426" s="19" t="n">
        <v>445</v>
      </c>
    </row>
    <row r="427">
      <c r="A427" s="21" t="n">
        <v>446</v>
      </c>
      <c r="B427" s="21" t="inlineStr">
        <is>
          <t>Aplicacion drench</t>
        </is>
      </c>
      <c r="C427" s="19" t="inlineStr">
        <is>
          <t>hora</t>
        </is>
      </c>
      <c r="E427" s="19" t="n">
        <v>446</v>
      </c>
    </row>
    <row r="428">
      <c r="A428" s="21" t="n">
        <v>447</v>
      </c>
      <c r="B428" s="21" t="inlineStr">
        <is>
          <t>Celaduria motor</t>
        </is>
      </c>
      <c r="C428" s="19" t="inlineStr">
        <is>
          <t>hora</t>
        </is>
      </c>
      <c r="E428" s="19" t="n">
        <v>447</v>
      </c>
    </row>
    <row r="429">
      <c r="A429" s="21" t="n">
        <v>448</v>
      </c>
      <c r="B429" s="21" t="inlineStr">
        <is>
          <t>Celaduria motor dominical</t>
        </is>
      </c>
      <c r="C429" s="19" t="inlineStr">
        <is>
          <t>hora</t>
        </is>
      </c>
      <c r="E429" s="19" t="n">
        <v>448</v>
      </c>
    </row>
    <row r="430">
      <c r="A430" s="21" t="n">
        <v>449</v>
      </c>
      <c r="B430" s="21" t="inlineStr">
        <is>
          <t>Recoleccion de basura</t>
        </is>
      </c>
      <c r="C430" s="19" t="inlineStr">
        <is>
          <t>hora</t>
        </is>
      </c>
      <c r="E430" s="19" t="n">
        <v>449</v>
      </c>
    </row>
    <row r="431">
      <c r="A431" s="21" t="n">
        <v>450</v>
      </c>
      <c r="B431" s="21" t="inlineStr">
        <is>
          <t>Horometro bulldozer</t>
        </is>
      </c>
      <c r="C431" s="19" t="inlineStr">
        <is>
          <t>hora</t>
        </is>
      </c>
      <c r="E431" s="19" t="n">
        <v>450</v>
      </c>
    </row>
    <row r="432">
      <c r="A432" s="21" t="n">
        <v>451</v>
      </c>
      <c r="B432" s="21" t="inlineStr">
        <is>
          <t>Acarreo de carton</t>
        </is>
      </c>
      <c r="C432" s="19" t="inlineStr">
        <is>
          <t>hora</t>
        </is>
      </c>
      <c r="E432" s="19" t="n">
        <v>451</v>
      </c>
    </row>
    <row r="433">
      <c r="A433" s="21" t="n">
        <v>452</v>
      </c>
      <c r="B433" s="21" t="inlineStr">
        <is>
          <t>Operador de maquinaria</t>
        </is>
      </c>
      <c r="C433" s="19" t="inlineStr">
        <is>
          <t>hora</t>
        </is>
      </c>
      <c r="E433" s="19" t="n">
        <v>452</v>
      </c>
    </row>
    <row r="434">
      <c r="A434" s="21" t="n">
        <v>453</v>
      </c>
      <c r="B434" s="21" t="inlineStr">
        <is>
          <t>Drenaje via</t>
        </is>
      </c>
      <c r="C434" s="19" t="inlineStr">
        <is>
          <t>hora</t>
        </is>
      </c>
      <c r="E434" s="19" t="n">
        <v>453</v>
      </c>
    </row>
    <row r="435">
      <c r="A435" s="21" t="n">
        <v>454</v>
      </c>
      <c r="B435" s="21" t="inlineStr">
        <is>
          <t>Mantenimiento maiz</t>
        </is>
      </c>
      <c r="C435" s="19" t="inlineStr">
        <is>
          <t>hora</t>
        </is>
      </c>
      <c r="E435" s="19" t="n">
        <v>454</v>
      </c>
    </row>
    <row r="436">
      <c r="A436" s="21" t="n">
        <v>455</v>
      </c>
      <c r="B436" s="21" t="inlineStr">
        <is>
          <t>Arreglo via</t>
        </is>
      </c>
      <c r="C436" s="19" t="inlineStr">
        <is>
          <t>hora</t>
        </is>
      </c>
      <c r="E436" s="19" t="n">
        <v>455</v>
      </c>
    </row>
    <row r="437">
      <c r="A437" s="21" t="n">
        <v>456</v>
      </c>
      <c r="B437" s="21" t="inlineStr">
        <is>
          <t>Mantenimiento de cable via h.e.d.</t>
        </is>
      </c>
      <c r="C437" s="19" t="inlineStr">
        <is>
          <t>hora</t>
        </is>
      </c>
      <c r="E437" s="19" t="n">
        <v>456</v>
      </c>
    </row>
    <row r="438">
      <c r="A438" s="21" t="n">
        <v>457</v>
      </c>
      <c r="B438" s="21" t="inlineStr">
        <is>
          <t>Siembra de maiz</t>
        </is>
      </c>
      <c r="C438" s="19" t="inlineStr">
        <is>
          <t>hora</t>
        </is>
      </c>
      <c r="E438" s="19" t="n">
        <v>457</v>
      </c>
    </row>
    <row r="439">
      <c r="A439" s="21" t="n">
        <v>458</v>
      </c>
      <c r="B439" s="21" t="inlineStr">
        <is>
          <t>Control moko festivo</t>
        </is>
      </c>
      <c r="C439" s="19" t="inlineStr">
        <is>
          <t>hora</t>
        </is>
      </c>
      <c r="E439" s="19" t="n">
        <v>458</v>
      </c>
    </row>
    <row r="440">
      <c r="A440" s="21" t="n">
        <v>459</v>
      </c>
      <c r="B440" s="21" t="inlineStr">
        <is>
          <t>Celaduria motor festivo</t>
        </is>
      </c>
      <c r="C440" s="19" t="inlineStr">
        <is>
          <t>hora</t>
        </is>
      </c>
      <c r="E440" s="19" t="n">
        <v>459</v>
      </c>
    </row>
    <row r="441">
      <c r="A441" s="21" t="n">
        <v>460</v>
      </c>
      <c r="B441" s="21" t="inlineStr">
        <is>
          <t>Construccion de corral</t>
        </is>
      </c>
      <c r="C441" s="19" t="inlineStr">
        <is>
          <t>hora</t>
        </is>
      </c>
      <c r="E441" s="19" t="n">
        <v>460</v>
      </c>
    </row>
    <row r="442">
      <c r="A442" s="21" t="n">
        <v>461</v>
      </c>
      <c r="B442" s="21" t="inlineStr">
        <is>
          <t>Celaduria maquinaria</t>
        </is>
      </c>
      <c r="C442" s="19" t="inlineStr">
        <is>
          <t>hora</t>
        </is>
      </c>
      <c r="E442" s="19" t="n">
        <v>461</v>
      </c>
    </row>
    <row r="443">
      <c r="A443" s="21" t="n">
        <v>462</v>
      </c>
      <c r="B443" s="21" t="inlineStr">
        <is>
          <t>Celaduria maquinaria dominical</t>
        </is>
      </c>
      <c r="C443" s="19" t="inlineStr">
        <is>
          <t>hora</t>
        </is>
      </c>
      <c r="E443" s="19" t="n">
        <v>462</v>
      </c>
    </row>
    <row r="444">
      <c r="A444" s="21" t="n">
        <v>463</v>
      </c>
      <c r="B444" s="21" t="inlineStr">
        <is>
          <t>Desmache al dia festivo</t>
        </is>
      </c>
      <c r="C444" s="19" t="inlineStr">
        <is>
          <t>hora</t>
        </is>
      </c>
      <c r="E444" s="19" t="n">
        <v>463</v>
      </c>
    </row>
    <row r="445">
      <c r="A445" s="21" t="n">
        <v>464</v>
      </c>
      <c r="B445" s="21" t="inlineStr">
        <is>
          <t>Traslado fertilizante</t>
        </is>
      </c>
      <c r="C445" s="19" t="inlineStr">
        <is>
          <t>tonelada</t>
        </is>
      </c>
      <c r="E445" s="19" t="n">
        <v>464</v>
      </c>
    </row>
    <row r="446">
      <c r="A446" s="21" t="n">
        <v>465</v>
      </c>
      <c r="B446" s="21" t="inlineStr">
        <is>
          <t>Anticipo sueldo adm</t>
        </is>
      </c>
      <c r="C446" s="19" t="inlineStr">
        <is>
          <t>dia</t>
        </is>
      </c>
      <c r="E446" s="19" t="n">
        <v>465</v>
      </c>
    </row>
    <row r="447">
      <c r="A447" s="21" t="n">
        <v>466</v>
      </c>
      <c r="B447" s="21" t="inlineStr">
        <is>
          <t>Capacitacion en desmache</t>
        </is>
      </c>
      <c r="C447" s="19" t="inlineStr">
        <is>
          <t>hora</t>
        </is>
      </c>
      <c r="E447" s="19" t="n">
        <v>466</v>
      </c>
    </row>
    <row r="448">
      <c r="A448" s="21" t="n">
        <v>467</v>
      </c>
      <c r="B448" s="21" t="inlineStr">
        <is>
          <t>Poda de palma al dia</t>
        </is>
      </c>
      <c r="C448" s="19" t="inlineStr">
        <is>
          <t>hora</t>
        </is>
      </c>
      <c r="E448" s="19" t="n">
        <v>467</v>
      </c>
    </row>
    <row r="449">
      <c r="A449" s="21" t="n">
        <v>468</v>
      </c>
      <c r="B449" s="21" t="inlineStr">
        <is>
          <t>Celaduria maquinaria festivo</t>
        </is>
      </c>
      <c r="C449" s="19" t="inlineStr">
        <is>
          <t>hora</t>
        </is>
      </c>
      <c r="E449" s="19" t="n">
        <v>468</v>
      </c>
    </row>
    <row r="450">
      <c r="A450" s="21" t="n">
        <v>469</v>
      </c>
      <c r="B450" s="21" t="inlineStr">
        <is>
          <t>Bioseguridad festivo</t>
        </is>
      </c>
      <c r="C450" s="19" t="inlineStr">
        <is>
          <t>hora</t>
        </is>
      </c>
      <c r="E450" s="19" t="n">
        <v>469</v>
      </c>
    </row>
    <row r="451">
      <c r="A451" s="21" t="n">
        <v>470</v>
      </c>
      <c r="B451" s="21" t="inlineStr">
        <is>
          <t>Canastilla rechazo</t>
        </is>
      </c>
      <c r="C451" s="19" t="inlineStr">
        <is>
          <t>hora</t>
        </is>
      </c>
      <c r="E451" s="19" t="n">
        <v>470</v>
      </c>
    </row>
    <row r="452">
      <c r="A452" s="21" t="n">
        <v>471</v>
      </c>
      <c r="B452" s="21" t="inlineStr">
        <is>
          <t>Licencia de paternidad</t>
        </is>
      </c>
      <c r="C452" s="19" t="inlineStr">
        <is>
          <t>hora</t>
        </is>
      </c>
      <c r="E452" s="19" t="n">
        <v>471</v>
      </c>
    </row>
    <row r="453">
      <c r="A453" s="21" t="n">
        <v>472</v>
      </c>
      <c r="B453" s="21" t="inlineStr">
        <is>
          <t>Gerente de calidad</t>
        </is>
      </c>
      <c r="C453" s="19" t="inlineStr">
        <is>
          <t>hora</t>
        </is>
      </c>
      <c r="E453" s="19" t="n">
        <v>472</v>
      </c>
    </row>
    <row r="454">
      <c r="A454" s="21" t="n">
        <v>473</v>
      </c>
      <c r="B454" s="21" t="inlineStr">
        <is>
          <t>Auxiliar de inventario</t>
        </is>
      </c>
      <c r="C454" s="19" t="inlineStr">
        <is>
          <t>hora</t>
        </is>
      </c>
      <c r="E454" s="19" t="n">
        <v>473</v>
      </c>
    </row>
    <row r="455">
      <c r="A455" s="21" t="n">
        <v>474</v>
      </c>
      <c r="B455" s="21" t="inlineStr">
        <is>
          <t>Descargue de insumos h.e.n.</t>
        </is>
      </c>
      <c r="C455" s="19" t="inlineStr">
        <is>
          <t>hora</t>
        </is>
      </c>
      <c r="E455" s="19" t="n">
        <v>474</v>
      </c>
    </row>
    <row r="456">
      <c r="A456" s="21" t="n">
        <v>475</v>
      </c>
      <c r="B456" s="21" t="inlineStr">
        <is>
          <t>Riego maiz</t>
        </is>
      </c>
      <c r="C456" s="19" t="inlineStr">
        <is>
          <t>hora</t>
        </is>
      </c>
      <c r="E456" s="19" t="n">
        <v>475</v>
      </c>
    </row>
    <row r="457">
      <c r="A457" s="21" t="n">
        <v>476</v>
      </c>
      <c r="B457" s="21" t="inlineStr">
        <is>
          <t>Cargue de rechazo h.e.d.</t>
        </is>
      </c>
      <c r="C457" s="19" t="inlineStr">
        <is>
          <t>hora</t>
        </is>
      </c>
      <c r="E457" s="19" t="n">
        <v>476</v>
      </c>
    </row>
    <row r="458">
      <c r="A458" s="21" t="n">
        <v>477</v>
      </c>
      <c r="B458" s="21" t="inlineStr">
        <is>
          <t>Cargue de rechazo h.e.n.</t>
        </is>
      </c>
      <c r="C458" s="19" t="inlineStr">
        <is>
          <t>hora</t>
        </is>
      </c>
      <c r="E458" s="19" t="n">
        <v>477</v>
      </c>
    </row>
    <row r="459">
      <c r="A459" s="21" t="n">
        <v>478</v>
      </c>
      <c r="B459" s="21" t="inlineStr">
        <is>
          <t>Aplicacion de fungicida</t>
        </is>
      </c>
      <c r="C459" s="19" t="inlineStr">
        <is>
          <t>hora</t>
        </is>
      </c>
      <c r="E459" s="19" t="n">
        <v>478</v>
      </c>
    </row>
    <row r="460">
      <c r="A460" s="21" t="n">
        <v>479</v>
      </c>
      <c r="B460" s="21" t="inlineStr">
        <is>
          <t>Clasificacion de cintas</t>
        </is>
      </c>
      <c r="C460" s="19" t="inlineStr">
        <is>
          <t>hora</t>
        </is>
      </c>
      <c r="E460" s="19" t="n">
        <v>479</v>
      </c>
    </row>
    <row r="461">
      <c r="A461" s="21" t="n">
        <v>481</v>
      </c>
      <c r="B461" s="21" t="inlineStr">
        <is>
          <t>Aplicacion de fertilizante h.e.d.</t>
        </is>
      </c>
      <c r="C461" s="19" t="inlineStr">
        <is>
          <t>hora</t>
        </is>
      </c>
      <c r="E461" s="19" t="n">
        <v>481</v>
      </c>
    </row>
    <row r="462">
      <c r="A462" s="21" t="n">
        <v>482</v>
      </c>
      <c r="B462" s="21" t="inlineStr">
        <is>
          <t>Labores maiz</t>
        </is>
      </c>
      <c r="C462" s="19" t="inlineStr">
        <is>
          <t>hora</t>
        </is>
      </c>
      <c r="E462" s="19" t="n">
        <v>482</v>
      </c>
    </row>
    <row r="463">
      <c r="A463" s="21" t="n">
        <v>483</v>
      </c>
      <c r="B463" s="21" t="inlineStr">
        <is>
          <t>Arreglo de cintas</t>
        </is>
      </c>
      <c r="C463" s="19" t="inlineStr">
        <is>
          <t>hora</t>
        </is>
      </c>
      <c r="E463" s="19" t="n">
        <v>483</v>
      </c>
    </row>
    <row r="464">
      <c r="A464" s="21" t="n">
        <v>484</v>
      </c>
      <c r="B464" s="21" t="inlineStr">
        <is>
          <t>Celaduria motor h.e.d.</t>
        </is>
      </c>
      <c r="C464" s="19" t="inlineStr">
        <is>
          <t>hora</t>
        </is>
      </c>
      <c r="E464" s="19" t="n">
        <v>484</v>
      </c>
    </row>
    <row r="465">
      <c r="A465" s="21" t="n">
        <v>485</v>
      </c>
      <c r="B465" s="21" t="inlineStr">
        <is>
          <t>Supervisor de empacadora</t>
        </is>
      </c>
      <c r="C465" s="19" t="inlineStr">
        <is>
          <t>hora</t>
        </is>
      </c>
      <c r="E465" s="19" t="n">
        <v>485</v>
      </c>
    </row>
    <row r="466">
      <c r="A466" s="21" t="n">
        <v>486</v>
      </c>
      <c r="B466" s="21" t="inlineStr">
        <is>
          <t>Evaluacion de parcela</t>
        </is>
      </c>
      <c r="C466" s="19" t="inlineStr">
        <is>
          <t>unidad</t>
        </is>
      </c>
      <c r="E466" s="19" t="n">
        <v>486</v>
      </c>
    </row>
    <row r="467">
      <c r="A467" s="21" t="n">
        <v>487</v>
      </c>
      <c r="B467" s="21" t="inlineStr">
        <is>
          <t>Aplicacion foliar cacorro</t>
        </is>
      </c>
      <c r="C467" s="19" t="inlineStr">
        <is>
          <t>hectarea</t>
        </is>
      </c>
      <c r="E467" s="19" t="n">
        <v>487</v>
      </c>
    </row>
    <row r="468">
      <c r="A468" s="21" t="n">
        <v>488</v>
      </c>
      <c r="B468" s="21" t="inlineStr">
        <is>
          <t>Realce</t>
        </is>
      </c>
      <c r="C468" s="19" t="inlineStr">
        <is>
          <t>hectarea</t>
        </is>
      </c>
      <c r="E468" s="19" t="n">
        <v>488</v>
      </c>
    </row>
    <row r="469">
      <c r="A469" s="21" t="n">
        <v>489</v>
      </c>
      <c r="B469" s="21" t="inlineStr">
        <is>
          <t>Aplicacion foliar bomba</t>
        </is>
      </c>
      <c r="C469" s="19" t="inlineStr">
        <is>
          <t>hectarea</t>
        </is>
      </c>
      <c r="E469" s="19" t="n">
        <v>489</v>
      </c>
    </row>
    <row r="470">
      <c r="A470" s="21" t="n">
        <v>490</v>
      </c>
      <c r="B470" s="21" t="inlineStr">
        <is>
          <t>Operador de maquinaria dominical</t>
        </is>
      </c>
      <c r="C470" s="19" t="inlineStr">
        <is>
          <t>hora</t>
        </is>
      </c>
      <c r="E470" s="19" t="n">
        <v>490</v>
      </c>
    </row>
    <row r="471">
      <c r="A471" s="21" t="n">
        <v>491</v>
      </c>
      <c r="B471" s="21" t="inlineStr">
        <is>
          <t>Corte promedio evaluacion</t>
        </is>
      </c>
      <c r="C471" s="19" t="inlineStr">
        <is>
          <t>unidad</t>
        </is>
      </c>
      <c r="E471" s="19" t="n">
        <v>491</v>
      </c>
    </row>
    <row r="472">
      <c r="A472" s="21" t="n">
        <v>492</v>
      </c>
      <c r="B472" s="21" t="inlineStr">
        <is>
          <t>Corte promedio rechazo</t>
        </is>
      </c>
      <c r="C472" s="19" t="inlineStr">
        <is>
          <t>caja</t>
        </is>
      </c>
      <c r="E472" s="19" t="n">
        <v>492</v>
      </c>
    </row>
    <row r="473">
      <c r="A473" s="21" t="n">
        <v>493</v>
      </c>
      <c r="B473" s="21" t="inlineStr">
        <is>
          <t>Evaluacion de campo</t>
        </is>
      </c>
      <c r="C473" s="19" t="inlineStr">
        <is>
          <t>hora</t>
        </is>
      </c>
      <c r="E473" s="19" t="n">
        <v>493</v>
      </c>
    </row>
    <row r="474">
      <c r="A474" s="21" t="n">
        <v>494</v>
      </c>
      <c r="B474" s="21" t="inlineStr">
        <is>
          <t>Mantenimiento retroexcavadora</t>
        </is>
      </c>
      <c r="C474" s="19" t="inlineStr">
        <is>
          <t>hora</t>
        </is>
      </c>
      <c r="E474" s="19" t="n">
        <v>494</v>
      </c>
    </row>
    <row r="475">
      <c r="A475" s="21" t="n">
        <v>495</v>
      </c>
      <c r="B475" s="21" t="inlineStr">
        <is>
          <t>Mantenimiento de bodega</t>
        </is>
      </c>
      <c r="C475" s="19" t="inlineStr">
        <is>
          <t>hora</t>
        </is>
      </c>
      <c r="E475" s="19" t="n">
        <v>495</v>
      </c>
    </row>
    <row r="476">
      <c r="A476" s="21" t="n">
        <v>496</v>
      </c>
      <c r="B476" s="21" t="inlineStr">
        <is>
          <t>Mantenimiento de bodega h.e.d.</t>
        </is>
      </c>
      <c r="C476" s="19" t="inlineStr">
        <is>
          <t>hora</t>
        </is>
      </c>
      <c r="E476" s="19" t="n">
        <v>496</v>
      </c>
    </row>
    <row r="477">
      <c r="A477" s="21" t="n">
        <v>497</v>
      </c>
      <c r="B477" s="21" t="inlineStr">
        <is>
          <t>Limpia de manguera</t>
        </is>
      </c>
      <c r="C477" s="19" t="inlineStr">
        <is>
          <t>hora</t>
        </is>
      </c>
      <c r="E477" s="19" t="n">
        <v>497</v>
      </c>
    </row>
    <row r="478">
      <c r="A478" s="21" t="n">
        <v>498</v>
      </c>
      <c r="B478" s="21" t="inlineStr">
        <is>
          <t>Control de insectos</t>
        </is>
      </c>
      <c r="C478" s="19" t="inlineStr">
        <is>
          <t>hora</t>
        </is>
      </c>
      <c r="E478" s="19" t="n">
        <v>498</v>
      </c>
    </row>
    <row r="479">
      <c r="A479" s="21" t="n">
        <v>499</v>
      </c>
      <c r="B479" s="21" t="inlineStr">
        <is>
          <t>Descargue de fertilizante h.e.d.</t>
        </is>
      </c>
      <c r="C479" s="19" t="inlineStr">
        <is>
          <t>hora</t>
        </is>
      </c>
      <c r="E479" s="19" t="n">
        <v>499</v>
      </c>
    </row>
    <row r="480">
      <c r="A480" s="21" t="n">
        <v>500</v>
      </c>
      <c r="B480" s="21" t="inlineStr">
        <is>
          <t>Pintura h.e.d.</t>
        </is>
      </c>
      <c r="C480" s="19" t="inlineStr">
        <is>
          <t>hora</t>
        </is>
      </c>
      <c r="E480" s="19" t="n">
        <v>500</v>
      </c>
    </row>
    <row r="481">
      <c r="A481" s="21" t="n">
        <v>501</v>
      </c>
      <c r="B481" s="21" t="inlineStr">
        <is>
          <t>Traslado de insumos</t>
        </is>
      </c>
      <c r="C481" s="19" t="inlineStr">
        <is>
          <t>hora</t>
        </is>
      </c>
      <c r="E481" s="19" t="n">
        <v>501</v>
      </c>
    </row>
    <row r="482">
      <c r="A482" s="21" t="n">
        <v>502</v>
      </c>
      <c r="B482" s="21" t="inlineStr">
        <is>
          <t>Organizacion de bodega</t>
        </is>
      </c>
      <c r="C482" s="19" t="inlineStr">
        <is>
          <t>hora</t>
        </is>
      </c>
      <c r="E482" s="19" t="n">
        <v>502</v>
      </c>
    </row>
    <row r="483">
      <c r="A483" s="21" t="n">
        <v>503</v>
      </c>
      <c r="B483" s="21" t="inlineStr">
        <is>
          <t>Botada de residuos solidos</t>
        </is>
      </c>
      <c r="C483" s="19" t="inlineStr">
        <is>
          <t>hora</t>
        </is>
      </c>
      <c r="E483" s="19" t="n">
        <v>503</v>
      </c>
    </row>
    <row r="484">
      <c r="A484" s="21" t="n">
        <v>504</v>
      </c>
      <c r="B484" s="21" t="inlineStr">
        <is>
          <t>Cargue de carton h.e.d.</t>
        </is>
      </c>
      <c r="C484" s="19" t="inlineStr">
        <is>
          <t>hora</t>
        </is>
      </c>
      <c r="E484" s="19" t="n">
        <v>504</v>
      </c>
    </row>
    <row r="485">
      <c r="A485" s="21" t="n">
        <v>505</v>
      </c>
      <c r="B485" s="21" t="inlineStr">
        <is>
          <t>Hechura de zanja h.e.d.</t>
        </is>
      </c>
      <c r="C485" s="19" t="inlineStr">
        <is>
          <t>hora</t>
        </is>
      </c>
      <c r="E485" s="19" t="n">
        <v>505</v>
      </c>
    </row>
    <row r="486">
      <c r="A486" s="21" t="n">
        <v>506</v>
      </c>
      <c r="B486" s="21" t="inlineStr">
        <is>
          <t>Corte promedio rechazo festivo</t>
        </is>
      </c>
      <c r="C486" s="19" t="inlineStr">
        <is>
          <t>caja</t>
        </is>
      </c>
      <c r="E486" s="19" t="n">
        <v>506</v>
      </c>
    </row>
    <row r="487">
      <c r="A487" s="21" t="n">
        <v>507</v>
      </c>
      <c r="B487" s="21" t="inlineStr">
        <is>
          <t>Corte promedio evaluacion festivo</t>
        </is>
      </c>
      <c r="C487" s="19" t="inlineStr">
        <is>
          <t>unidad</t>
        </is>
      </c>
      <c r="E487" s="19" t="n">
        <v>507</v>
      </c>
    </row>
    <row r="488">
      <c r="A488" s="21" t="n">
        <v>508</v>
      </c>
      <c r="B488" s="21" t="inlineStr">
        <is>
          <t>Colocacion de sacos</t>
        </is>
      </c>
      <c r="C488" s="19" t="inlineStr">
        <is>
          <t>hora</t>
        </is>
      </c>
      <c r="E488" s="19" t="n">
        <v>508</v>
      </c>
    </row>
    <row r="489">
      <c r="A489" s="21" t="n">
        <v>509</v>
      </c>
      <c r="B489" s="21" t="inlineStr">
        <is>
          <t>Sacada de manguera</t>
        </is>
      </c>
      <c r="C489" s="19" t="inlineStr">
        <is>
          <t>hora</t>
        </is>
      </c>
      <c r="E489" s="19" t="n">
        <v>509</v>
      </c>
    </row>
    <row r="490">
      <c r="A490" s="21" t="n">
        <v>510</v>
      </c>
      <c r="B490" s="21" t="inlineStr">
        <is>
          <t>Arreglo de bodega h.e.d.</t>
        </is>
      </c>
      <c r="C490" s="19" t="inlineStr">
        <is>
          <t>hora</t>
        </is>
      </c>
      <c r="E490" s="19" t="n">
        <v>510</v>
      </c>
    </row>
    <row r="491">
      <c r="A491" s="21" t="n">
        <v>511</v>
      </c>
      <c r="B491" s="21" t="inlineStr">
        <is>
          <t>Alineacion de mangueras</t>
        </is>
      </c>
      <c r="C491" s="19" t="inlineStr">
        <is>
          <t>hora</t>
        </is>
      </c>
      <c r="E491" s="19" t="n">
        <v>511</v>
      </c>
    </row>
    <row r="492">
      <c r="A492" s="21" t="n">
        <v>512</v>
      </c>
      <c r="B492" s="21" t="inlineStr">
        <is>
          <t>Descargue de arena</t>
        </is>
      </c>
      <c r="C492" s="19" t="inlineStr">
        <is>
          <t>hora</t>
        </is>
      </c>
      <c r="E492" s="19" t="n">
        <v>512</v>
      </c>
    </row>
    <row r="493">
      <c r="A493" s="21" t="n">
        <v>513</v>
      </c>
      <c r="B493" s="21" t="inlineStr">
        <is>
          <t>Organizacion de manguera</t>
        </is>
      </c>
      <c r="C493" s="19" t="inlineStr">
        <is>
          <t>hora</t>
        </is>
      </c>
      <c r="E493" s="19" t="n">
        <v>513</v>
      </c>
    </row>
    <row r="494">
      <c r="A494" s="21" t="n">
        <v>514</v>
      </c>
      <c r="B494" s="21" t="inlineStr">
        <is>
          <t>Supervisor zona sur</t>
        </is>
      </c>
      <c r="C494" s="19" t="inlineStr">
        <is>
          <t>hora</t>
        </is>
      </c>
      <c r="E494" s="19" t="n">
        <v>514</v>
      </c>
    </row>
    <row r="495">
      <c r="A495" s="21" t="n">
        <v>515</v>
      </c>
      <c r="B495" s="21" t="inlineStr">
        <is>
          <t>Licencia por luto adm</t>
        </is>
      </c>
      <c r="C495" s="19" t="inlineStr">
        <is>
          <t>dia</t>
        </is>
      </c>
      <c r="E495" s="19" t="n">
        <v>515</v>
      </c>
    </row>
    <row r="496">
      <c r="A496" s="21" t="n">
        <v>516</v>
      </c>
      <c r="B496" s="21" t="inlineStr">
        <is>
          <t>Vigorizacion</t>
        </is>
      </c>
      <c r="C496" s="19" t="inlineStr">
        <is>
          <t>hora</t>
        </is>
      </c>
      <c r="E496" s="19" t="n">
        <v>516</v>
      </c>
    </row>
    <row r="497">
      <c r="A497" s="21" t="n">
        <v>517</v>
      </c>
      <c r="B497" s="21" t="inlineStr">
        <is>
          <t>Repeso de rechazo</t>
        </is>
      </c>
      <c r="C497" s="19" t="inlineStr">
        <is>
          <t>hora</t>
        </is>
      </c>
      <c r="E497" s="19" t="n">
        <v>517</v>
      </c>
    </row>
    <row r="498">
      <c r="A498" s="21" t="n">
        <v>518</v>
      </c>
      <c r="B498" s="21" t="inlineStr">
        <is>
          <t>Pintura dominical</t>
        </is>
      </c>
      <c r="C498" s="19" t="inlineStr">
        <is>
          <t>hora</t>
        </is>
      </c>
      <c r="E498" s="19" t="n">
        <v>518</v>
      </c>
    </row>
    <row r="499">
      <c r="A499" s="21" t="n">
        <v>519</v>
      </c>
      <c r="B499" s="21" t="inlineStr">
        <is>
          <t>Arreglo de camino</t>
        </is>
      </c>
      <c r="C499" s="19" t="inlineStr">
        <is>
          <t>hora</t>
        </is>
      </c>
      <c r="E499" s="19" t="n">
        <v>519</v>
      </c>
    </row>
    <row r="500">
      <c r="A500" s="21" t="n">
        <v>520</v>
      </c>
      <c r="B500" s="21" t="inlineStr">
        <is>
          <t>Arreglo de camino h.e.d.</t>
        </is>
      </c>
      <c r="C500" s="19" t="inlineStr">
        <is>
          <t>hora</t>
        </is>
      </c>
      <c r="E500" s="19" t="n">
        <v>520</v>
      </c>
    </row>
    <row r="501">
      <c r="A501" s="21" t="n">
        <v>521</v>
      </c>
      <c r="B501" s="21" t="inlineStr">
        <is>
          <t>Mezcla de fertilizante h.e.d.</t>
        </is>
      </c>
      <c r="C501" s="19" t="inlineStr">
        <is>
          <t>hora</t>
        </is>
      </c>
      <c r="E501" s="19" t="n">
        <v>521</v>
      </c>
    </row>
    <row r="502">
      <c r="A502" s="21" t="n">
        <v>522</v>
      </c>
      <c r="B502" s="21" t="inlineStr">
        <is>
          <t>Deshoje dominical</t>
        </is>
      </c>
      <c r="C502" s="19" t="inlineStr">
        <is>
          <t>hectarea</t>
        </is>
      </c>
      <c r="E502" s="19" t="n">
        <v>522</v>
      </c>
    </row>
    <row r="503">
      <c r="A503" s="21" t="n">
        <v>523</v>
      </c>
      <c r="B503" s="21" t="inlineStr">
        <is>
          <t>Evento empresa</t>
        </is>
      </c>
      <c r="C503" s="19" t="inlineStr">
        <is>
          <t>hora</t>
        </is>
      </c>
      <c r="E503" s="19" t="n">
        <v>523</v>
      </c>
    </row>
    <row r="504">
      <c r="A504" s="21" t="n">
        <v>524</v>
      </c>
      <c r="B504" s="21" t="inlineStr">
        <is>
          <t>Cargue de cajas h.e.n.</t>
        </is>
      </c>
      <c r="C504" s="19" t="inlineStr">
        <is>
          <t>hora</t>
        </is>
      </c>
      <c r="E504" s="19" t="n">
        <v>524</v>
      </c>
    </row>
    <row r="505">
      <c r="A505" s="21" t="n">
        <v>525</v>
      </c>
      <c r="B505" s="21" t="inlineStr">
        <is>
          <t>Hechura de trinchera h.e.d.</t>
        </is>
      </c>
      <c r="C505" s="19" t="inlineStr">
        <is>
          <t>hora</t>
        </is>
      </c>
      <c r="E505" s="19" t="n">
        <v>525</v>
      </c>
    </row>
    <row r="506">
      <c r="A506" s="21" t="n">
        <v>526</v>
      </c>
      <c r="B506" s="21" t="inlineStr">
        <is>
          <t>Riego dominical h.e.d.</t>
        </is>
      </c>
      <c r="C506" s="19" t="inlineStr">
        <is>
          <t>hora</t>
        </is>
      </c>
      <c r="E506" s="19" t="n">
        <v>526</v>
      </c>
    </row>
    <row r="507">
      <c r="A507" s="21" t="n">
        <v>527</v>
      </c>
      <c r="B507" s="21" t="inlineStr">
        <is>
          <t>Embolse al dia festivo</t>
        </is>
      </c>
      <c r="C507" s="19" t="inlineStr">
        <is>
          <t>hora</t>
        </is>
      </c>
      <c r="E507" s="19" t="n">
        <v>527</v>
      </c>
    </row>
    <row r="508">
      <c r="A508" s="21" t="n">
        <v>528</v>
      </c>
      <c r="B508" s="21" t="inlineStr">
        <is>
          <t>Embolse Maroma</t>
        </is>
      </c>
      <c r="C508" s="19" t="inlineStr">
        <is>
          <t>hora</t>
        </is>
      </c>
      <c r="E508" s="19" t="n">
        <v>528</v>
      </c>
    </row>
    <row r="509">
      <c r="A509" s="21" t="n">
        <v>529</v>
      </c>
      <c r="B509" s="21" t="inlineStr">
        <is>
          <t>Colocacion de yumbolon Maroma</t>
        </is>
      </c>
      <c r="C509" s="19" t="inlineStr">
        <is>
          <t>unidad</t>
        </is>
      </c>
      <c r="E509" s="19" t="n">
        <v>529</v>
      </c>
    </row>
    <row r="510">
      <c r="A510" s="21" t="n">
        <v>530</v>
      </c>
      <c r="B510" s="21" t="inlineStr">
        <is>
          <t>Corte de madera</t>
        </is>
      </c>
      <c r="C510" s="19" t="inlineStr">
        <is>
          <t>hora</t>
        </is>
      </c>
      <c r="E510" s="19" t="n">
        <v>530</v>
      </c>
    </row>
    <row r="511">
      <c r="A511" s="21" t="n">
        <v>531</v>
      </c>
      <c r="B511" s="21" t="inlineStr">
        <is>
          <t>Colocacion de yumbolon festivo Maroma</t>
        </is>
      </c>
      <c r="C511" s="19" t="inlineStr">
        <is>
          <t>unidad</t>
        </is>
      </c>
      <c r="E511" s="19" t="n">
        <v>531</v>
      </c>
    </row>
    <row r="512">
      <c r="A512" s="21" t="n">
        <v>532</v>
      </c>
      <c r="B512" s="21" t="inlineStr">
        <is>
          <t>Coordinador de calidad</t>
        </is>
      </c>
      <c r="C512" s="19" t="inlineStr">
        <is>
          <t>hora</t>
        </is>
      </c>
      <c r="E512" s="19" t="n">
        <v>532</v>
      </c>
    </row>
    <row r="513">
      <c r="A513" s="21" t="n">
        <v>533</v>
      </c>
      <c r="B513" s="21" t="inlineStr">
        <is>
          <t>Aplicacion de yeso al dia</t>
        </is>
      </c>
      <c r="C513" s="19" t="inlineStr">
        <is>
          <t>hora</t>
        </is>
      </c>
      <c r="E513" s="19" t="n">
        <v>533</v>
      </c>
    </row>
    <row r="514">
      <c r="A514" s="21" t="n">
        <v>534</v>
      </c>
      <c r="B514" s="21" t="inlineStr">
        <is>
          <t>Siembra al dia</t>
        </is>
      </c>
      <c r="C514" s="19" t="inlineStr">
        <is>
          <t>hora</t>
        </is>
      </c>
      <c r="E514" s="19" t="n">
        <v>534</v>
      </c>
    </row>
    <row r="515">
      <c r="A515" s="21" t="n">
        <v>535</v>
      </c>
      <c r="B515" s="21" t="inlineStr">
        <is>
          <t>Corte promedio Maria Laura</t>
        </is>
      </c>
      <c r="C515" s="19" t="inlineStr">
        <is>
          <t>unidad</t>
        </is>
      </c>
      <c r="E515" s="19" t="n">
        <v>535</v>
      </c>
    </row>
    <row r="516">
      <c r="A516" s="21" t="n">
        <v>536</v>
      </c>
      <c r="B516" s="21" t="inlineStr">
        <is>
          <t>Corte caja integral Maroma</t>
        </is>
      </c>
      <c r="C516" s="19" t="inlineStr">
        <is>
          <t>unidad</t>
        </is>
      </c>
      <c r="E516" s="19" t="n">
        <v>536</v>
      </c>
    </row>
    <row r="517">
      <c r="A517" s="21" t="n">
        <v>537</v>
      </c>
      <c r="B517" s="21" t="inlineStr">
        <is>
          <t>Construccion de malla</t>
        </is>
      </c>
      <c r="C517" s="19" t="inlineStr">
        <is>
          <t>hora</t>
        </is>
      </c>
      <c r="E517" s="19" t="n">
        <v>537</v>
      </c>
    </row>
    <row r="518">
      <c r="A518" s="21" t="n">
        <v>538</v>
      </c>
      <c r="B518" s="21" t="inlineStr">
        <is>
          <t>Relleno de tierra empacadora</t>
        </is>
      </c>
      <c r="C518" s="19" t="inlineStr">
        <is>
          <t>hora</t>
        </is>
      </c>
      <c r="E518" s="19" t="n">
        <v>538</v>
      </c>
    </row>
    <row r="519">
      <c r="A519" s="21" t="n">
        <v>539</v>
      </c>
      <c r="B519" s="21" t="inlineStr">
        <is>
          <t>Aplicacion de limo</t>
        </is>
      </c>
      <c r="C519" s="19" t="inlineStr">
        <is>
          <t>hora</t>
        </is>
      </c>
      <c r="E519" s="19" t="n">
        <v>539</v>
      </c>
    </row>
    <row r="520">
      <c r="A520" s="21" t="n">
        <v>540</v>
      </c>
      <c r="B520" s="21" t="inlineStr">
        <is>
          <t>Bonificacion parcela</t>
        </is>
      </c>
      <c r="C520" s="19" t="inlineStr">
        <is>
          <t>unidad</t>
        </is>
      </c>
      <c r="E520" s="19" t="n">
        <v>540</v>
      </c>
    </row>
    <row r="521">
      <c r="A521" s="21" t="n">
        <v>541</v>
      </c>
      <c r="B521" s="21" t="inlineStr">
        <is>
          <t>Auxiliar</t>
        </is>
      </c>
      <c r="C521" s="19" t="inlineStr">
        <is>
          <t>hora</t>
        </is>
      </c>
      <c r="E521" s="19" t="n">
        <v>541</v>
      </c>
    </row>
    <row r="522">
      <c r="A522" s="21" t="n">
        <v>542</v>
      </c>
      <c r="B522" s="21" t="inlineStr">
        <is>
          <t>Ayudante de bulldozer dominical</t>
        </is>
      </c>
      <c r="C522" s="19" t="inlineStr">
        <is>
          <t>hora</t>
        </is>
      </c>
      <c r="E522" s="19" t="n">
        <v>542</v>
      </c>
    </row>
    <row r="523">
      <c r="A523" s="21" t="n">
        <v>543</v>
      </c>
      <c r="B523" s="21" t="inlineStr">
        <is>
          <t>Cosecha palma dominical</t>
        </is>
      </c>
      <c r="C523" s="19" t="inlineStr">
        <is>
          <t>tonelada</t>
        </is>
      </c>
      <c r="E523" s="19" t="n">
        <v>543</v>
      </c>
    </row>
    <row r="524">
      <c r="A524" s="21" t="n">
        <v>544</v>
      </c>
      <c r="B524" s="21" t="inlineStr">
        <is>
          <t>Recogida en acopio dominical</t>
        </is>
      </c>
      <c r="C524" s="19" t="inlineStr">
        <is>
          <t>tonelada</t>
        </is>
      </c>
      <c r="E524" s="19" t="n">
        <v>544</v>
      </c>
    </row>
    <row r="525">
      <c r="A525" s="21" t="n">
        <v>545</v>
      </c>
      <c r="B525" s="21" t="inlineStr">
        <is>
          <t>Quema de madera</t>
        </is>
      </c>
      <c r="C525" s="19" t="inlineStr">
        <is>
          <t>hora</t>
        </is>
      </c>
      <c r="E525" s="19" t="n">
        <v>545</v>
      </c>
    </row>
    <row r="526">
      <c r="A526" s="21" t="n">
        <v>546</v>
      </c>
      <c r="B526" s="21" t="inlineStr">
        <is>
          <t>Control de moko h.e.d.</t>
        </is>
      </c>
      <c r="C526" s="19" t="inlineStr">
        <is>
          <t>hora</t>
        </is>
      </c>
      <c r="E526" s="19" t="n">
        <v>546</v>
      </c>
    </row>
    <row r="527">
      <c r="A527" s="21" t="n">
        <v>547</v>
      </c>
      <c r="B527" s="21" t="inlineStr">
        <is>
          <t>Aseo de empacadora h.e.d.</t>
        </is>
      </c>
      <c r="C527" s="19" t="inlineStr">
        <is>
          <t>hora</t>
        </is>
      </c>
      <c r="E527" s="19" t="n">
        <v>547</v>
      </c>
    </row>
    <row r="528">
      <c r="A528" s="21" t="n">
        <v>548</v>
      </c>
      <c r="B528" s="21" t="inlineStr">
        <is>
          <t>Toma de muestras</t>
        </is>
      </c>
      <c r="C528" s="19" t="inlineStr">
        <is>
          <t>hora</t>
        </is>
      </c>
      <c r="E528" s="19" t="n">
        <v>548</v>
      </c>
    </row>
    <row r="529">
      <c r="A529" s="21" t="n">
        <v>549</v>
      </c>
      <c r="B529" s="21" t="inlineStr">
        <is>
          <t>Acarreo de abono</t>
        </is>
      </c>
      <c r="C529" s="19" t="inlineStr">
        <is>
          <t>hora</t>
        </is>
      </c>
      <c r="E529" s="19" t="n">
        <v>549</v>
      </c>
    </row>
    <row r="530">
      <c r="A530" s="21" t="n">
        <v>550</v>
      </c>
      <c r="B530" s="21" t="inlineStr">
        <is>
          <t>Levante de manguera h.e.d.</t>
        </is>
      </c>
      <c r="C530" s="19" t="inlineStr">
        <is>
          <t>hora</t>
        </is>
      </c>
      <c r="E530" s="19" t="n">
        <v>550</v>
      </c>
    </row>
    <row r="531">
      <c r="A531" s="21" t="n">
        <v>551</v>
      </c>
      <c r="B531" s="21" t="inlineStr">
        <is>
          <t>Cargue de tuberia h.e.d.</t>
        </is>
      </c>
      <c r="C531" s="19" t="inlineStr">
        <is>
          <t>hora</t>
        </is>
      </c>
      <c r="E531" s="19" t="n">
        <v>551</v>
      </c>
    </row>
    <row r="532">
      <c r="A532" s="21" t="n">
        <v>552</v>
      </c>
      <c r="B532" s="21" t="inlineStr">
        <is>
          <t>Operador de bulldozer dominical</t>
        </is>
      </c>
      <c r="C532" s="19" t="inlineStr">
        <is>
          <t>hora</t>
        </is>
      </c>
      <c r="E532" s="19" t="n">
        <v>552</v>
      </c>
    </row>
    <row r="533">
      <c r="A533" s="21" t="n">
        <v>553</v>
      </c>
      <c r="B533" s="21" t="inlineStr">
        <is>
          <t>Lavada retroexcavadora</t>
        </is>
      </c>
      <c r="C533" s="19" t="inlineStr">
        <is>
          <t>hora</t>
        </is>
      </c>
      <c r="E533" s="19" t="n">
        <v>553</v>
      </c>
    </row>
    <row r="534">
      <c r="A534" s="21" t="n">
        <v>554</v>
      </c>
      <c r="B534" s="21" t="inlineStr">
        <is>
          <t>Cargue de filtro de riego</t>
        </is>
      </c>
      <c r="C534" s="19" t="inlineStr">
        <is>
          <t>hora</t>
        </is>
      </c>
      <c r="E534" s="19" t="n">
        <v>554</v>
      </c>
    </row>
    <row r="535">
      <c r="A535" s="21" t="n">
        <v>555</v>
      </c>
      <c r="B535" s="21" t="inlineStr">
        <is>
          <t>Levante de manguera dominical</t>
        </is>
      </c>
      <c r="C535" s="19" t="inlineStr">
        <is>
          <t>hora</t>
        </is>
      </c>
      <c r="E535" s="19" t="n">
        <v>555</v>
      </c>
    </row>
    <row r="536">
      <c r="A536" s="21" t="n">
        <v>556</v>
      </c>
      <c r="B536" s="21" t="inlineStr">
        <is>
          <t>Parcela simultanea dominical</t>
        </is>
      </c>
      <c r="C536" s="19" t="inlineStr">
        <is>
          <t>hectarea</t>
        </is>
      </c>
      <c r="E536" s="19" t="n">
        <v>556</v>
      </c>
    </row>
    <row r="537">
      <c r="A537" s="21" t="n">
        <v>557</v>
      </c>
      <c r="B537" s="21" t="inlineStr">
        <is>
          <t>Motorista festivo h.e.d.</t>
        </is>
      </c>
      <c r="C537" s="19" t="inlineStr">
        <is>
          <t>hora</t>
        </is>
      </c>
      <c r="E537" s="19" t="n">
        <v>557</v>
      </c>
    </row>
    <row r="538">
      <c r="A538" s="21" t="n">
        <v>558</v>
      </c>
      <c r="B538" s="21" t="inlineStr">
        <is>
          <t>Levante de manguera festivo h.e.d.</t>
        </is>
      </c>
      <c r="C538" s="19" t="inlineStr">
        <is>
          <t>hora</t>
        </is>
      </c>
      <c r="E538" s="19" t="n">
        <v>558</v>
      </c>
    </row>
    <row r="539">
      <c r="A539" s="21" t="n">
        <v>559</v>
      </c>
      <c r="B539" s="21" t="inlineStr">
        <is>
          <t>Sacada de tuberia</t>
        </is>
      </c>
      <c r="C539" s="19" t="inlineStr">
        <is>
          <t>metro</t>
        </is>
      </c>
      <c r="E539" s="19" t="n">
        <v>559</v>
      </c>
    </row>
    <row r="540">
      <c r="A540" s="21" t="n">
        <v>561</v>
      </c>
      <c r="B540" s="21" t="inlineStr">
        <is>
          <t>Corte promedio cablero</t>
        </is>
      </c>
      <c r="C540" s="19" t="inlineStr">
        <is>
          <t>caja</t>
        </is>
      </c>
      <c r="E540" s="19" t="n">
        <v>561</v>
      </c>
    </row>
    <row r="541">
      <c r="A541" s="21" t="n">
        <v>562</v>
      </c>
      <c r="B541" s="21" t="inlineStr">
        <is>
          <t>Licencia de maternidad adm</t>
        </is>
      </c>
      <c r="C541" s="19" t="inlineStr">
        <is>
          <t>hora</t>
        </is>
      </c>
      <c r="E541" s="19" t="n">
        <v>562</v>
      </c>
    </row>
    <row r="542">
      <c r="A542" s="21" t="n">
        <v>563</v>
      </c>
      <c r="B542" s="21" t="inlineStr">
        <is>
          <t>Incapacidad por valoracion medica</t>
        </is>
      </c>
      <c r="C542" s="19" t="inlineStr">
        <is>
          <t>hora</t>
        </is>
      </c>
      <c r="E542" s="19" t="n">
        <v>563</v>
      </c>
    </row>
    <row r="543">
      <c r="A543" s="21" t="n">
        <v>564</v>
      </c>
      <c r="B543" s="21" t="inlineStr">
        <is>
          <t>Estirada de manguera h.e.d.</t>
        </is>
      </c>
      <c r="C543" s="19" t="inlineStr">
        <is>
          <t>hora</t>
        </is>
      </c>
      <c r="E543" s="19" t="n">
        <v>564</v>
      </c>
    </row>
    <row r="544">
      <c r="A544" s="21" t="n">
        <v>565</v>
      </c>
      <c r="B544" s="21" t="inlineStr">
        <is>
          <t>Ayudante de aplicacion de azufre</t>
        </is>
      </c>
      <c r="C544" s="19" t="inlineStr">
        <is>
          <t>hora</t>
        </is>
      </c>
      <c r="E544" s="19" t="n">
        <v>565</v>
      </c>
    </row>
    <row r="545">
      <c r="A545" s="21" t="n">
        <v>566</v>
      </c>
      <c r="B545" s="21" t="inlineStr">
        <is>
          <t>Erradicacion de palma</t>
        </is>
      </c>
      <c r="C545" s="19" t="inlineStr">
        <is>
          <t>hora</t>
        </is>
      </c>
      <c r="E545" s="19" t="n">
        <v>566</v>
      </c>
    </row>
    <row r="546">
      <c r="A546" s="21" t="n">
        <v>567</v>
      </c>
      <c r="B546" s="21" t="inlineStr">
        <is>
          <t>Alineacion de mangueras h.e.d.</t>
        </is>
      </c>
      <c r="C546" s="19" t="inlineStr">
        <is>
          <t>hora</t>
        </is>
      </c>
      <c r="E546" s="19" t="n">
        <v>567</v>
      </c>
    </row>
    <row r="547">
      <c r="A547" s="21" t="n">
        <v>568</v>
      </c>
      <c r="B547" s="21" t="inlineStr">
        <is>
          <t>Agricultura h.e.d.</t>
        </is>
      </c>
      <c r="C547" s="19" t="inlineStr">
        <is>
          <t>hora</t>
        </is>
      </c>
      <c r="E547" s="19" t="n">
        <v>568</v>
      </c>
    </row>
    <row r="548">
      <c r="A548" s="21" t="n">
        <v>569</v>
      </c>
      <c r="B548" s="21" t="inlineStr">
        <is>
          <t>Aseo de protectores</t>
        </is>
      </c>
      <c r="C548" s="19" t="inlineStr">
        <is>
          <t>hora</t>
        </is>
      </c>
      <c r="E548" s="19" t="n">
        <v>569</v>
      </c>
    </row>
    <row r="549">
      <c r="A549" s="21" t="n">
        <v>570</v>
      </c>
      <c r="B549" s="21" t="inlineStr">
        <is>
          <t>Aplicacion abono organico y abotek dominical</t>
        </is>
      </c>
      <c r="C549" s="19" t="inlineStr">
        <is>
          <t>hectarea</t>
        </is>
      </c>
      <c r="E549" s="19" t="n">
        <v>570</v>
      </c>
    </row>
    <row r="550">
      <c r="A550" s="21" t="n">
        <v>571</v>
      </c>
      <c r="B550" s="21" t="inlineStr">
        <is>
          <t>Aplicacion abono y fertilizante</t>
        </is>
      </c>
      <c r="C550" s="19" t="inlineStr">
        <is>
          <t>hectarea</t>
        </is>
      </c>
      <c r="E550" s="19" t="n">
        <v>571</v>
      </c>
    </row>
    <row r="551">
      <c r="A551" s="21" t="n">
        <v>572</v>
      </c>
      <c r="B551" s="21" t="inlineStr">
        <is>
          <t>Corte promedio cablero festivo</t>
        </is>
      </c>
      <c r="C551" s="19" t="inlineStr">
        <is>
          <t>caja</t>
        </is>
      </c>
      <c r="E551" s="19" t="n">
        <v>572</v>
      </c>
    </row>
    <row r="552">
      <c r="A552" s="21" t="n">
        <v>573</v>
      </c>
      <c r="B552" s="21" t="inlineStr">
        <is>
          <t>Auxiliar festivo</t>
        </is>
      </c>
      <c r="C552" s="19" t="inlineStr">
        <is>
          <t>hora</t>
        </is>
      </c>
      <c r="E552" s="19" t="n">
        <v>573</v>
      </c>
    </row>
    <row r="553">
      <c r="A553" s="21" t="n">
        <v>574</v>
      </c>
      <c r="B553" s="21" t="inlineStr">
        <is>
          <t>Motorista dominical h.e.d.</t>
        </is>
      </c>
      <c r="C553" s="19" t="inlineStr">
        <is>
          <t>hora</t>
        </is>
      </c>
      <c r="E553" s="19" t="n">
        <v>574</v>
      </c>
    </row>
    <row r="554">
      <c r="A554" s="21" t="n">
        <v>575</v>
      </c>
      <c r="B554" s="21" t="inlineStr">
        <is>
          <t>Limpia de camino</t>
        </is>
      </c>
      <c r="C554" s="19" t="inlineStr">
        <is>
          <t>hora</t>
        </is>
      </c>
      <c r="E554" s="19" t="n">
        <v>575</v>
      </c>
    </row>
    <row r="555">
      <c r="A555" s="21" t="n">
        <v>576</v>
      </c>
      <c r="B555" s="21" t="inlineStr">
        <is>
          <t>Descargue de semillas h.e.d.</t>
        </is>
      </c>
      <c r="C555" s="19" t="inlineStr">
        <is>
          <t>hora</t>
        </is>
      </c>
      <c r="E555" s="19" t="n">
        <v>576</v>
      </c>
    </row>
    <row r="556">
      <c r="A556" s="21" t="n">
        <v>577</v>
      </c>
      <c r="B556" s="21" t="inlineStr">
        <is>
          <t>Llenada de rechazo h.e.d.</t>
        </is>
      </c>
      <c r="C556" s="19" t="inlineStr">
        <is>
          <t>hora</t>
        </is>
      </c>
      <c r="E556" s="19" t="n">
        <v>577</v>
      </c>
    </row>
    <row r="557">
      <c r="A557" s="21" t="n">
        <v>578</v>
      </c>
      <c r="B557" s="21" t="inlineStr">
        <is>
          <t>Capacitacion en fertilizacion</t>
        </is>
      </c>
      <c r="C557" s="19" t="inlineStr">
        <is>
          <t>hora</t>
        </is>
      </c>
      <c r="E557" s="19" t="n">
        <v>578</v>
      </c>
    </row>
    <row r="558">
      <c r="A558" s="21" t="n">
        <v>579</v>
      </c>
      <c r="B558" s="21" t="inlineStr">
        <is>
          <t>Recogida de caracol</t>
        </is>
      </c>
      <c r="C558" s="19" t="inlineStr">
        <is>
          <t>hora</t>
        </is>
      </c>
      <c r="E558" s="19" t="n">
        <v>579</v>
      </c>
    </row>
    <row r="559">
      <c r="A559" s="21" t="n">
        <v>580</v>
      </c>
      <c r="B559" s="21" t="inlineStr">
        <is>
          <t>Vivero palma</t>
        </is>
      </c>
      <c r="C559" s="19" t="inlineStr">
        <is>
          <t>hora</t>
        </is>
      </c>
      <c r="E559" s="19" t="n">
        <v>580</v>
      </c>
    </row>
    <row r="560">
      <c r="A560" s="21" t="n">
        <v>581</v>
      </c>
      <c r="B560" s="21" t="inlineStr">
        <is>
          <t>Arreglo de carruchas</t>
        </is>
      </c>
      <c r="C560" s="19" t="inlineStr">
        <is>
          <t>hora</t>
        </is>
      </c>
      <c r="E560" s="19" t="n">
        <v>581</v>
      </c>
    </row>
    <row r="561">
      <c r="A561" s="21" t="n">
        <v>582</v>
      </c>
      <c r="B561" s="21" t="inlineStr">
        <is>
          <t>Fertilizacion palma</t>
        </is>
      </c>
      <c r="C561" s="19" t="inlineStr">
        <is>
          <t>hora</t>
        </is>
      </c>
      <c r="E561" s="19" t="n">
        <v>582</v>
      </c>
    </row>
    <row r="562">
      <c r="A562" s="21" t="n">
        <v>583</v>
      </c>
      <c r="B562" s="21" t="inlineStr">
        <is>
          <t>Limpia de cerca palma</t>
        </is>
      </c>
      <c r="C562" s="19" t="inlineStr">
        <is>
          <t>hora</t>
        </is>
      </c>
      <c r="E562" s="19" t="n">
        <v>583</v>
      </c>
    </row>
    <row r="563">
      <c r="A563" s="21" t="n">
        <v>584</v>
      </c>
      <c r="B563" s="21" t="inlineStr">
        <is>
          <t>Mantenimiento de cerca palma</t>
        </is>
      </c>
      <c r="C563" s="19" t="inlineStr">
        <is>
          <t>hora</t>
        </is>
      </c>
      <c r="E563" s="19" t="n">
        <v>584</v>
      </c>
    </row>
    <row r="564">
      <c r="A564" s="21" t="n">
        <v>585</v>
      </c>
      <c r="B564" s="21" t="inlineStr">
        <is>
          <t>Mantenimiento de cerca maiz</t>
        </is>
      </c>
      <c r="C564" s="19" t="inlineStr">
        <is>
          <t>hora</t>
        </is>
      </c>
      <c r="E564" s="19" t="n">
        <v>585</v>
      </c>
    </row>
    <row r="565">
      <c r="A565" s="21" t="n">
        <v>586</v>
      </c>
      <c r="B565" s="21" t="inlineStr">
        <is>
          <t>Aplicacion de herbicida maiz dominical</t>
        </is>
      </c>
      <c r="C565" s="19" t="inlineStr">
        <is>
          <t>hora</t>
        </is>
      </c>
      <c r="E565" s="19" t="n">
        <v>586</v>
      </c>
    </row>
    <row r="566">
      <c r="A566" s="21" t="n">
        <v>587</v>
      </c>
      <c r="B566" s="21" t="inlineStr">
        <is>
          <t>Auditor</t>
        </is>
      </c>
      <c r="C566" s="19" t="inlineStr">
        <is>
          <t>dia</t>
        </is>
      </c>
      <c r="E566" s="19" t="n">
        <v>587</v>
      </c>
    </row>
    <row r="567">
      <c r="A567" s="21" t="n">
        <v>588</v>
      </c>
      <c r="B567" s="21" t="inlineStr">
        <is>
          <t>Sacada de limo</t>
        </is>
      </c>
      <c r="C567" s="19" t="inlineStr">
        <is>
          <t>hora</t>
        </is>
      </c>
      <c r="E567" s="19" t="n">
        <v>588</v>
      </c>
    </row>
    <row r="568">
      <c r="A568" s="21" t="n">
        <v>589</v>
      </c>
      <c r="B568" s="21" t="inlineStr">
        <is>
          <t>Paletizacion de cajas</t>
        </is>
      </c>
      <c r="C568" s="19" t="inlineStr">
        <is>
          <t>unidad</t>
        </is>
      </c>
      <c r="E568" s="19" t="n">
        <v>589</v>
      </c>
    </row>
    <row r="569">
      <c r="A569" s="21" t="n">
        <v>590</v>
      </c>
      <c r="B569" s="21" t="inlineStr">
        <is>
          <t>Cargue de cajas festivo h.e.d.</t>
        </is>
      </c>
      <c r="C569" s="19" t="inlineStr">
        <is>
          <t>hora</t>
        </is>
      </c>
      <c r="E569" s="19" t="n">
        <v>590</v>
      </c>
    </row>
    <row r="570">
      <c r="A570" s="21" t="n">
        <v>591</v>
      </c>
      <c r="B570" s="21" t="inlineStr">
        <is>
          <t>Recoleccion de rechazo</t>
        </is>
      </c>
      <c r="C570" s="19" t="inlineStr">
        <is>
          <t>hora</t>
        </is>
      </c>
      <c r="E570" s="19" t="n">
        <v>591</v>
      </c>
    </row>
    <row r="571">
      <c r="A571" s="21" t="n">
        <v>592</v>
      </c>
      <c r="B571" s="21" t="inlineStr">
        <is>
          <t>Clasificacion de carton</t>
        </is>
      </c>
      <c r="C571" s="19" t="inlineStr">
        <is>
          <t>hora</t>
        </is>
      </c>
      <c r="E571" s="19" t="n">
        <v>592</v>
      </c>
    </row>
    <row r="572">
      <c r="A572" s="21" t="n">
        <v>593</v>
      </c>
      <c r="B572" s="21" t="inlineStr">
        <is>
          <t>Auxiliar de empacadora festivo</t>
        </is>
      </c>
      <c r="C572" s="19" t="inlineStr">
        <is>
          <t>hora</t>
        </is>
      </c>
      <c r="E572" s="19" t="n">
        <v>593</v>
      </c>
    </row>
    <row r="573">
      <c r="A573" s="21" t="n">
        <v>594</v>
      </c>
      <c r="B573" s="21" t="inlineStr">
        <is>
          <t>Operador de maquinaria festivo</t>
        </is>
      </c>
      <c r="C573" s="19" t="inlineStr">
        <is>
          <t>hora</t>
        </is>
      </c>
      <c r="E573" s="19" t="n">
        <v>594</v>
      </c>
    </row>
    <row r="574">
      <c r="A574" s="21" t="n">
        <v>595</v>
      </c>
      <c r="B574" s="21" t="inlineStr">
        <is>
          <t>Parcela simultanea Maroma</t>
        </is>
      </c>
      <c r="C574" s="19" t="inlineStr">
        <is>
          <t>hectarea</t>
        </is>
      </c>
      <c r="E574" s="19" t="n">
        <v>595</v>
      </c>
    </row>
    <row r="575">
      <c r="A575" s="21" t="n">
        <v>596</v>
      </c>
      <c r="B575" s="21" t="inlineStr">
        <is>
          <t>Mantenimiento de manguera</t>
        </is>
      </c>
      <c r="C575" s="19" t="inlineStr">
        <is>
          <t>hora</t>
        </is>
      </c>
      <c r="E575" s="19" t="n">
        <v>596</v>
      </c>
    </row>
    <row r="576">
      <c r="A576" s="21" t="n">
        <v>597</v>
      </c>
      <c r="B576" s="21" t="inlineStr">
        <is>
          <t>Alta paricion</t>
        </is>
      </c>
      <c r="C576" s="19" t="inlineStr">
        <is>
          <t>racimo</t>
        </is>
      </c>
      <c r="E576" s="19" t="n">
        <v>597</v>
      </c>
    </row>
    <row r="577">
      <c r="A577" s="21" t="n">
        <v>598</v>
      </c>
      <c r="B577" s="21" t="inlineStr">
        <is>
          <t>Control de maleza festivo</t>
        </is>
      </c>
      <c r="C577" s="19" t="inlineStr">
        <is>
          <t>hectarea</t>
        </is>
      </c>
      <c r="E577" s="19" t="n">
        <v>598</v>
      </c>
    </row>
    <row r="578">
      <c r="A578" s="21" t="n">
        <v>599</v>
      </c>
      <c r="B578" s="21" t="inlineStr">
        <is>
          <t>Coordinador de produccion</t>
        </is>
      </c>
      <c r="C578" s="19" t="inlineStr">
        <is>
          <t>hora</t>
        </is>
      </c>
      <c r="E578" s="19" t="n">
        <v>599</v>
      </c>
    </row>
    <row r="579">
      <c r="A579" s="21" t="n">
        <v>600</v>
      </c>
      <c r="B579" s="21" t="inlineStr">
        <is>
          <t>Recoleccion de residuos solidos</t>
        </is>
      </c>
      <c r="C579" s="19" t="inlineStr">
        <is>
          <t>hora</t>
        </is>
      </c>
      <c r="E579" s="19" t="n">
        <v>600</v>
      </c>
    </row>
    <row r="580">
      <c r="A580" s="21" t="n">
        <v>601</v>
      </c>
      <c r="B580" s="21" t="inlineStr">
        <is>
          <t>Vivero palma festivo</t>
        </is>
      </c>
      <c r="C580" s="19" t="inlineStr">
        <is>
          <t>hora</t>
        </is>
      </c>
      <c r="E580" s="19" t="n">
        <v>601</v>
      </c>
    </row>
    <row r="581">
      <c r="A581" s="21" t="n">
        <v>602</v>
      </c>
      <c r="B581" s="21" t="inlineStr">
        <is>
          <t>Descargue de plantas h.e.d.</t>
        </is>
      </c>
      <c r="C581" s="19" t="inlineStr">
        <is>
          <t>hora</t>
        </is>
      </c>
      <c r="E581" s="19" t="n">
        <v>602</v>
      </c>
    </row>
    <row r="582">
      <c r="A582" s="21" t="n">
        <v>603</v>
      </c>
      <c r="B582" s="21" t="inlineStr">
        <is>
          <t>Limpia frente finca</t>
        </is>
      </c>
      <c r="C582" s="19" t="inlineStr">
        <is>
          <t>hora</t>
        </is>
      </c>
      <c r="E582" s="19" t="n">
        <v>603</v>
      </c>
    </row>
    <row r="583">
      <c r="A583" s="21" t="n">
        <v>604</v>
      </c>
      <c r="B583" s="21" t="inlineStr">
        <is>
          <t>Aplicacion de herbicida Maroma al dia festivo</t>
        </is>
      </c>
      <c r="C583" s="19" t="inlineStr">
        <is>
          <t>hora</t>
        </is>
      </c>
      <c r="E583" s="19" t="n">
        <v>604</v>
      </c>
    </row>
    <row r="584">
      <c r="A584" s="21" t="n">
        <v>605</v>
      </c>
      <c r="B584" s="21" t="inlineStr">
        <is>
          <t>Aplicacion de herbicida Maroma al dia</t>
        </is>
      </c>
      <c r="C584" s="19" t="inlineStr">
        <is>
          <t>hora</t>
        </is>
      </c>
      <c r="E584" s="19" t="n">
        <v>605</v>
      </c>
    </row>
    <row r="585">
      <c r="A585" s="21" t="n">
        <v>606</v>
      </c>
      <c r="B585" s="21" t="inlineStr">
        <is>
          <t>Cargue de plantas h.e.d.</t>
        </is>
      </c>
      <c r="C585" s="19" t="inlineStr">
        <is>
          <t>hora</t>
        </is>
      </c>
      <c r="E585" s="19" t="n">
        <v>606</v>
      </c>
    </row>
    <row r="586">
      <c r="A586" s="21" t="n">
        <v>607</v>
      </c>
      <c r="B586" s="21" t="inlineStr">
        <is>
          <t>Precalibracion Maroma</t>
        </is>
      </c>
      <c r="C586" s="19" t="inlineStr">
        <is>
          <t>hora</t>
        </is>
      </c>
      <c r="E586" s="19" t="n">
        <v>607</v>
      </c>
    </row>
    <row r="587">
      <c r="A587" s="21" t="n">
        <v>608</v>
      </c>
      <c r="B587" s="21" t="inlineStr">
        <is>
          <t>Deshermane Maroma</t>
        </is>
      </c>
      <c r="C587" s="19" t="inlineStr">
        <is>
          <t>hectarea</t>
        </is>
      </c>
      <c r="E587" s="19" t="n">
        <v>608</v>
      </c>
    </row>
    <row r="588">
      <c r="A588" s="21" t="n">
        <v>609</v>
      </c>
      <c r="B588" s="21" t="inlineStr">
        <is>
          <t>Deshoje Maroma al dia</t>
        </is>
      </c>
      <c r="C588" s="19" t="inlineStr">
        <is>
          <t>hora</t>
        </is>
      </c>
      <c r="E588" s="19" t="n">
        <v>609</v>
      </c>
    </row>
    <row r="589">
      <c r="A589" s="21" t="n">
        <v>610</v>
      </c>
      <c r="B589" s="21" t="inlineStr">
        <is>
          <t>Ayudante de parcela Maroma</t>
        </is>
      </c>
      <c r="C589" s="19" t="inlineStr">
        <is>
          <t>hora</t>
        </is>
      </c>
      <c r="E589" s="19" t="n">
        <v>610</v>
      </c>
    </row>
    <row r="590">
      <c r="A590" s="21" t="n">
        <v>611</v>
      </c>
      <c r="B590" s="21" t="inlineStr">
        <is>
          <t>Capacitacion en corte festivo</t>
        </is>
      </c>
      <c r="C590" s="19" t="inlineStr">
        <is>
          <t>hora</t>
        </is>
      </c>
      <c r="E590" s="19" t="n">
        <v>611</v>
      </c>
    </row>
    <row r="591">
      <c r="A591" s="21" t="n">
        <v>612</v>
      </c>
      <c r="B591" s="21" t="inlineStr">
        <is>
          <t>Arranque de pajon</t>
        </is>
      </c>
      <c r="C591" s="19" t="inlineStr">
        <is>
          <t>hora</t>
        </is>
      </c>
      <c r="E591" s="19" t="n">
        <v>612</v>
      </c>
    </row>
    <row r="592">
      <c r="A592" s="21" t="n">
        <v>613</v>
      </c>
      <c r="B592" s="21" t="inlineStr">
        <is>
          <t>Operador de bulldozer festivo</t>
        </is>
      </c>
      <c r="C592" s="19" t="inlineStr">
        <is>
          <t>hora</t>
        </is>
      </c>
      <c r="E592" s="19" t="n">
        <v>613</v>
      </c>
    </row>
    <row r="593">
      <c r="A593" s="21" t="n">
        <v>614</v>
      </c>
      <c r="B593" s="21" t="inlineStr">
        <is>
          <t>Ayudante de bulldozer festivo</t>
        </is>
      </c>
      <c r="C593" s="19" t="inlineStr">
        <is>
          <t>hora</t>
        </is>
      </c>
      <c r="E593" s="19" t="n">
        <v>614</v>
      </c>
    </row>
    <row r="594">
      <c r="A594" s="21" t="n">
        <v>615</v>
      </c>
      <c r="B594" s="21" t="inlineStr">
        <is>
          <t>Labores maiz festivo</t>
        </is>
      </c>
      <c r="C594" s="19" t="inlineStr">
        <is>
          <t>hora</t>
        </is>
      </c>
      <c r="E594" s="19" t="n">
        <v>615</v>
      </c>
    </row>
    <row r="595">
      <c r="A595" s="21" t="n">
        <v>616</v>
      </c>
      <c r="B595" s="21" t="inlineStr">
        <is>
          <t>Vivero palma dominical</t>
        </is>
      </c>
      <c r="C595" s="19" t="inlineStr">
        <is>
          <t>hora</t>
        </is>
      </c>
      <c r="E595" s="19" t="n">
        <v>616</v>
      </c>
    </row>
    <row r="596">
      <c r="A596" s="21" t="n">
        <v>617</v>
      </c>
      <c r="B596" s="21" t="inlineStr">
        <is>
          <t>Parcela al dia Maroma</t>
        </is>
      </c>
      <c r="C596" s="19" t="inlineStr">
        <is>
          <t>hora</t>
        </is>
      </c>
      <c r="E596" s="19" t="n">
        <v>617</v>
      </c>
    </row>
    <row r="597">
      <c r="A597" s="21" t="n">
        <v>618</v>
      </c>
      <c r="B597" s="21" t="inlineStr">
        <is>
          <t>Parcela al dia Maroma festivo</t>
        </is>
      </c>
      <c r="C597" s="19" t="inlineStr">
        <is>
          <t>hora</t>
        </is>
      </c>
      <c r="E597" s="19" t="n">
        <v>618</v>
      </c>
    </row>
    <row r="598">
      <c r="A598" s="21" t="n">
        <v>619</v>
      </c>
      <c r="B598" s="21" t="inlineStr">
        <is>
          <t>Lavada de estibas</t>
        </is>
      </c>
      <c r="C598" s="19" t="inlineStr">
        <is>
          <t>hora</t>
        </is>
      </c>
      <c r="E598" s="19" t="n">
        <v>619</v>
      </c>
    </row>
    <row r="599">
      <c r="A599" s="21" t="n">
        <v>620</v>
      </c>
      <c r="B599" s="21" t="inlineStr">
        <is>
          <t>Auxiliar de casino</t>
        </is>
      </c>
      <c r="C599" s="19" t="inlineStr">
        <is>
          <t>hora</t>
        </is>
      </c>
      <c r="E599" s="19" t="n">
        <v>620</v>
      </c>
    </row>
    <row r="600">
      <c r="A600" s="21" t="n">
        <v>621</v>
      </c>
      <c r="B600" s="21" t="inlineStr">
        <is>
          <t>Mantenimiento de pediluvio</t>
        </is>
      </c>
      <c r="C600" s="19" t="inlineStr">
        <is>
          <t>hora</t>
        </is>
      </c>
      <c r="E600" s="19" t="n">
        <v>621</v>
      </c>
    </row>
    <row r="601">
      <c r="A601" s="21" t="n">
        <v>622</v>
      </c>
      <c r="B601" s="21" t="inlineStr">
        <is>
          <t>Capacitacion en parcela</t>
        </is>
      </c>
      <c r="C601" s="19" t="inlineStr">
        <is>
          <t>hora</t>
        </is>
      </c>
      <c r="E601" s="19" t="n">
        <v>622</v>
      </c>
    </row>
    <row r="602">
      <c r="A602" s="21" t="n">
        <v>623</v>
      </c>
      <c r="B602" s="21" t="inlineStr">
        <is>
          <t>Capacitacion en yumbolon</t>
        </is>
      </c>
      <c r="C602" s="19" t="inlineStr">
        <is>
          <t>hora</t>
        </is>
      </c>
      <c r="E602" s="19" t="n">
        <v>623</v>
      </c>
    </row>
    <row r="603">
      <c r="A603" s="21" t="n">
        <v>630</v>
      </c>
      <c r="B603" s="21" t="inlineStr">
        <is>
          <t>Coordinador de cosecha</t>
        </is>
      </c>
      <c r="C603" s="19" t="inlineStr">
        <is>
          <t>hora</t>
        </is>
      </c>
      <c r="E603" s="19" t="n">
        <v>630</v>
      </c>
    </row>
    <row r="604">
      <c r="A604" s="21" t="n">
        <v>631</v>
      </c>
      <c r="B604" s="21" t="inlineStr">
        <is>
          <t>Mantenimiento de manguera h.e.d.</t>
        </is>
      </c>
      <c r="C604" s="19" t="inlineStr">
        <is>
          <t>hora</t>
        </is>
      </c>
      <c r="E604" s="19" t="n">
        <v>631</v>
      </c>
    </row>
    <row r="605">
      <c r="A605" s="21" t="n">
        <v>632</v>
      </c>
      <c r="B605" s="21" t="inlineStr">
        <is>
          <t>Construccion de empinaderos</t>
        </is>
      </c>
      <c r="C605" s="19" t="inlineStr">
        <is>
          <t>hora</t>
        </is>
      </c>
      <c r="E605" s="19" t="n">
        <v>632</v>
      </c>
    </row>
    <row r="606">
      <c r="A606" s="21" t="n">
        <v>633</v>
      </c>
      <c r="B606" s="21" t="inlineStr">
        <is>
          <t>Conteo de fertilizante</t>
        </is>
      </c>
      <c r="C606" s="19" t="inlineStr">
        <is>
          <t>hora</t>
        </is>
      </c>
      <c r="E606" s="19" t="n">
        <v>633</v>
      </c>
    </row>
    <row r="607">
      <c r="A607" s="21" t="n">
        <v>634</v>
      </c>
      <c r="B607" s="21" t="inlineStr">
        <is>
          <t>Riego maiz dominical</t>
        </is>
      </c>
      <c r="C607" s="19" t="inlineStr">
        <is>
          <t>hora</t>
        </is>
      </c>
      <c r="E607" s="19" t="n">
        <v>634</v>
      </c>
    </row>
    <row r="608">
      <c r="A608" s="21" t="n">
        <v>635</v>
      </c>
      <c r="B608" s="21" t="inlineStr">
        <is>
          <t>Riego maiz festivo</t>
        </is>
      </c>
      <c r="C608" s="19" t="inlineStr">
        <is>
          <t>hora</t>
        </is>
      </c>
      <c r="E608" s="19" t="n">
        <v>635</v>
      </c>
    </row>
    <row r="609">
      <c r="A609" s="21" t="n">
        <v>636</v>
      </c>
      <c r="B609" s="21" t="inlineStr">
        <is>
          <t>Auxiliar de casino festivo</t>
        </is>
      </c>
      <c r="C609" s="19" t="inlineStr">
        <is>
          <t>hora</t>
        </is>
      </c>
      <c r="E609" s="19" t="n">
        <v>636</v>
      </c>
    </row>
    <row r="610">
      <c r="A610" s="21" t="n">
        <v>637</v>
      </c>
      <c r="B610" s="21" t="inlineStr">
        <is>
          <t>Mantenimiento de manguera festivo</t>
        </is>
      </c>
      <c r="C610" s="19" t="inlineStr">
        <is>
          <t>hora</t>
        </is>
      </c>
      <c r="E610" s="19" t="n">
        <v>637</v>
      </c>
    </row>
    <row r="611">
      <c r="A611" s="21" t="n">
        <v>638</v>
      </c>
      <c r="B611" s="21" t="inlineStr">
        <is>
          <t>Arreglo de pallet</t>
        </is>
      </c>
      <c r="C611" s="19" t="inlineStr">
        <is>
          <t>hora</t>
        </is>
      </c>
      <c r="E611" s="19" t="n">
        <v>638</v>
      </c>
    </row>
    <row r="612">
      <c r="A612" s="21" t="n">
        <v>639</v>
      </c>
      <c r="B612" s="21" t="inlineStr">
        <is>
          <t>Aseo cable via</t>
        </is>
      </c>
      <c r="C612" s="19" t="inlineStr">
        <is>
          <t>hora</t>
        </is>
      </c>
      <c r="E612" s="19" t="n">
        <v>639</v>
      </c>
    </row>
    <row r="613">
      <c r="A613" s="21" t="n">
        <v>640</v>
      </c>
      <c r="B613" s="21" t="inlineStr">
        <is>
          <t>Mantenimiento de manguera dominical h.e.d.</t>
        </is>
      </c>
      <c r="C613" s="19" t="inlineStr">
        <is>
          <t>hora</t>
        </is>
      </c>
      <c r="E613" s="19" t="n">
        <v>640</v>
      </c>
    </row>
    <row r="614">
      <c r="A614" s="21" t="n">
        <v>641</v>
      </c>
      <c r="B614" s="21" t="inlineStr">
        <is>
          <t>Mantenimiento de manguera dominical</t>
        </is>
      </c>
      <c r="C614" s="19" t="inlineStr">
        <is>
          <t>hora</t>
        </is>
      </c>
      <c r="E614" s="19" t="n">
        <v>641</v>
      </c>
    </row>
    <row r="615">
      <c r="A615" s="21" t="n">
        <v>642</v>
      </c>
      <c r="B615" s="21" t="inlineStr">
        <is>
          <t>Corte caja integral festivo Maroma</t>
        </is>
      </c>
      <c r="C615" s="19" t="inlineStr">
        <is>
          <t>unidad</t>
        </is>
      </c>
      <c r="E615" s="19" t="n">
        <v>642</v>
      </c>
    </row>
    <row r="616">
      <c r="A616" s="21" t="n">
        <v>643</v>
      </c>
      <c r="B616" s="21" t="inlineStr">
        <is>
          <t>Arranque de bacotas</t>
        </is>
      </c>
      <c r="C616" s="19" t="inlineStr">
        <is>
          <t>hora</t>
        </is>
      </c>
      <c r="E616" s="19" t="n">
        <v>643</v>
      </c>
    </row>
    <row r="617">
      <c r="A617" s="21" t="n">
        <v>644</v>
      </c>
      <c r="B617" s="21" t="inlineStr">
        <is>
          <t>Corte caja integral Maria Laura</t>
        </is>
      </c>
      <c r="C617" s="19" t="inlineStr">
        <is>
          <t>unidad</t>
        </is>
      </c>
      <c r="E617" s="19" t="n">
        <v>644</v>
      </c>
    </row>
    <row r="618">
      <c r="A618" s="21" t="n">
        <v>645</v>
      </c>
      <c r="B618" s="21" t="inlineStr">
        <is>
          <t>Corte promedio Maria Laura</t>
        </is>
      </c>
      <c r="C618" s="19" t="inlineStr">
        <is>
          <t>unidad</t>
        </is>
      </c>
      <c r="E618" s="19" t="n">
        <v>645</v>
      </c>
    </row>
    <row r="619">
      <c r="A619" s="21" t="n">
        <v>646</v>
      </c>
      <c r="B619" s="21" t="inlineStr">
        <is>
          <t>Sacada de material chatarra</t>
        </is>
      </c>
      <c r="C619" s="19" t="inlineStr">
        <is>
          <t>hora</t>
        </is>
      </c>
      <c r="E619" s="19" t="n">
        <v>646</v>
      </c>
    </row>
    <row r="620">
      <c r="A620" s="21" t="n">
        <v>647</v>
      </c>
      <c r="B620" s="21" t="inlineStr">
        <is>
          <t>Corte caja integral Maroma festivo</t>
        </is>
      </c>
      <c r="C620" s="19" t="inlineStr">
        <is>
          <t>unidad</t>
        </is>
      </c>
      <c r="E620" s="19" t="n">
        <v>647</v>
      </c>
    </row>
    <row r="621">
      <c r="A621" s="21" t="n">
        <v>648</v>
      </c>
      <c r="B621" s="21" t="inlineStr">
        <is>
          <t>Permiso adm</t>
        </is>
      </c>
      <c r="C621" s="19" t="inlineStr">
        <is>
          <t>dia</t>
        </is>
      </c>
      <c r="E621" s="19" t="n">
        <v>648</v>
      </c>
    </row>
    <row r="622">
      <c r="A622" s="21" t="n">
        <v>649</v>
      </c>
      <c r="B622" s="21" t="inlineStr">
        <is>
          <t>Repique de arbol caido festivo</t>
        </is>
      </c>
      <c r="C622" s="19" t="inlineStr">
        <is>
          <t>hora</t>
        </is>
      </c>
      <c r="E622" s="19" t="n">
        <v>649</v>
      </c>
    </row>
    <row r="623">
      <c r="A623" s="19" t="n">
        <v>650</v>
      </c>
      <c r="B623" s="19" t="inlineStr">
        <is>
          <t>Arreglo area rechazo</t>
        </is>
      </c>
      <c r="C623" s="19" t="inlineStr">
        <is>
          <t>hora</t>
        </is>
      </c>
      <c r="E623" s="19" t="n">
        <v>650</v>
      </c>
    </row>
    <row r="624">
      <c r="A624" s="19" t="n">
        <v>651</v>
      </c>
      <c r="B624" s="19" t="inlineStr">
        <is>
          <t>Repique de matas Maroma</t>
        </is>
      </c>
      <c r="C624" s="19" t="inlineStr">
        <is>
          <t>hora</t>
        </is>
      </c>
      <c r="E624" s="19" t="n">
        <v>651</v>
      </c>
    </row>
    <row r="625">
      <c r="A625" s="19" t="n">
        <v>652</v>
      </c>
      <c r="B625" s="19" t="inlineStr">
        <is>
          <t>Recoleccion de bolsa y yumbolon</t>
        </is>
      </c>
      <c r="C625" s="19" t="inlineStr">
        <is>
          <t>hora</t>
        </is>
      </c>
      <c r="E625" s="19" t="n">
        <v>652</v>
      </c>
    </row>
    <row r="626">
      <c r="A626" s="19" t="n">
        <v>653</v>
      </c>
      <c r="B626" s="19" t="inlineStr">
        <is>
          <t>Supervisor de riego</t>
        </is>
      </c>
      <c r="C626" s="19" t="inlineStr">
        <is>
          <t>hora</t>
        </is>
      </c>
      <c r="E626" s="19" t="n">
        <v>653</v>
      </c>
    </row>
    <row r="627">
      <c r="A627" s="19" t="n">
        <v>654</v>
      </c>
      <c r="B627" s="19" t="inlineStr">
        <is>
          <t>Sacada de troncones</t>
        </is>
      </c>
      <c r="C627" s="19" t="inlineStr">
        <is>
          <t>unidad</t>
        </is>
      </c>
      <c r="E627" s="19" t="n">
        <v>654</v>
      </c>
    </row>
    <row r="628">
      <c r="A628" s="19" t="n">
        <v>655</v>
      </c>
      <c r="B628" s="19" t="inlineStr">
        <is>
          <t>Acarreo de arena h.e.d.</t>
        </is>
      </c>
      <c r="C628" s="19" t="inlineStr">
        <is>
          <t>hora</t>
        </is>
      </c>
      <c r="E628" s="19" t="n">
        <v>655</v>
      </c>
    </row>
    <row r="629">
      <c r="A629" s="19" t="n">
        <v>656</v>
      </c>
      <c r="B629" s="19" t="inlineStr">
        <is>
          <t>Aplicacion de fertilizante und</t>
        </is>
      </c>
      <c r="C629" s="19" t="inlineStr">
        <is>
          <t>bulto</t>
        </is>
      </c>
      <c r="E629" s="19" t="n">
        <v>656</v>
      </c>
    </row>
    <row r="630">
      <c r="A630" s="19" t="n">
        <v>657</v>
      </c>
      <c r="B630" s="19" t="inlineStr">
        <is>
          <t>Descargue de carton Don Gaspar h.e.d.</t>
        </is>
      </c>
      <c r="C630" s="19" t="inlineStr">
        <is>
          <t>hora</t>
        </is>
      </c>
      <c r="E630" s="19" t="n">
        <v>657</v>
      </c>
    </row>
    <row r="631">
      <c r="A631" s="19" t="n">
        <v>658</v>
      </c>
      <c r="B631" s="19" t="inlineStr">
        <is>
          <t>Preparacion de vivero</t>
        </is>
      </c>
      <c r="C631" s="19" t="inlineStr">
        <is>
          <t>hora</t>
        </is>
      </c>
      <c r="E631" s="19" t="n">
        <v>658</v>
      </c>
    </row>
    <row r="632">
      <c r="A632" s="19" t="n">
        <v>659</v>
      </c>
      <c r="B632" s="19" t="inlineStr">
        <is>
          <t>Acarreo de pase cola</t>
        </is>
      </c>
      <c r="C632" s="19" t="inlineStr">
        <is>
          <t>hora</t>
        </is>
      </c>
      <c r="E632" s="19" t="n">
        <v>659</v>
      </c>
    </row>
    <row r="633">
      <c r="A633" s="19" t="n">
        <v>660</v>
      </c>
      <c r="B633" s="19" t="inlineStr">
        <is>
          <t>Instalacion de cable via</t>
        </is>
      </c>
      <c r="C633" s="19" t="inlineStr">
        <is>
          <t>hora</t>
        </is>
      </c>
      <c r="E633" s="19" t="n">
        <v>660</v>
      </c>
    </row>
    <row r="634">
      <c r="A634" s="19" t="n">
        <v>661</v>
      </c>
      <c r="B634" s="19" t="inlineStr">
        <is>
          <t>Seleccion de matas</t>
        </is>
      </c>
      <c r="C634" s="19" t="inlineStr">
        <is>
          <t>hora</t>
        </is>
      </c>
      <c r="E634" s="19" t="n">
        <v>661</v>
      </c>
    </row>
    <row r="635">
      <c r="A635" s="19" t="n">
        <v>662</v>
      </c>
      <c r="B635" s="19" t="inlineStr">
        <is>
          <t>Amarre</t>
        </is>
      </c>
      <c r="C635" s="19" t="inlineStr">
        <is>
          <t>racimo</t>
        </is>
      </c>
      <c r="E635" s="19" t="n">
        <v>662</v>
      </c>
    </row>
    <row r="636">
      <c r="A636" s="19" t="n">
        <v>663</v>
      </c>
      <c r="B636" s="19" t="inlineStr">
        <is>
          <t>Parcela combinada El Refugio</t>
        </is>
      </c>
      <c r="C636" s="19" t="inlineStr">
        <is>
          <t>hectarea</t>
        </is>
      </c>
      <c r="E636" s="19" t="n">
        <v>663</v>
      </c>
    </row>
    <row r="637">
      <c r="A637" s="19" t="n">
        <v>664</v>
      </c>
      <c r="B637" s="19" t="inlineStr">
        <is>
          <t>Ayudante de parcela El Refugio</t>
        </is>
      </c>
      <c r="C637" s="19" t="inlineStr">
        <is>
          <t>hora</t>
        </is>
      </c>
      <c r="E637" s="19" t="n">
        <v>664</v>
      </c>
    </row>
    <row r="638">
      <c r="A638" s="19" t="n">
        <v>665</v>
      </c>
      <c r="B638" s="19" t="inlineStr">
        <is>
          <t>Repase labor mala calidad maleza</t>
        </is>
      </c>
      <c r="C638" s="19" t="inlineStr">
        <is>
          <t>hectarea</t>
        </is>
      </c>
      <c r="E638" s="19" t="n">
        <v>665</v>
      </c>
    </row>
    <row r="639">
      <c r="A639" s="19" t="n">
        <v>666</v>
      </c>
      <c r="B639" s="19" t="inlineStr">
        <is>
          <t>Embolse y desflore Maroma</t>
        </is>
      </c>
      <c r="C639" s="19" t="inlineStr">
        <is>
          <t>hectarea</t>
        </is>
      </c>
      <c r="E639" s="19" t="n">
        <v>666</v>
      </c>
    </row>
    <row r="640">
      <c r="A640" s="19" t="n">
        <v>667</v>
      </c>
      <c r="B640" s="19" t="inlineStr">
        <is>
          <t>Permiso por lluvia</t>
        </is>
      </c>
      <c r="C640" s="19" t="inlineStr">
        <is>
          <t>hora</t>
        </is>
      </c>
      <c r="E640" s="19" t="n">
        <v>667</v>
      </c>
    </row>
    <row r="641">
      <c r="A641" s="19" t="n">
        <v>668</v>
      </c>
      <c r="B641" s="19" t="inlineStr">
        <is>
          <t>No aporta incapacidad</t>
        </is>
      </c>
      <c r="C641" s="19" t="inlineStr">
        <is>
          <t>hora</t>
        </is>
      </c>
      <c r="E641" s="19" t="n">
        <v>668</v>
      </c>
    </row>
    <row r="642">
      <c r="A642" s="19" t="n">
        <v>669</v>
      </c>
      <c r="B642" s="19" t="inlineStr">
        <is>
          <t>Corte al dia Maroma</t>
        </is>
      </c>
      <c r="C642" s="19" t="inlineStr">
        <is>
          <t>hora</t>
        </is>
      </c>
      <c r="E642" s="19" t="n">
        <v>669</v>
      </c>
    </row>
    <row r="643">
      <c r="A643" s="19" t="n">
        <v>670</v>
      </c>
      <c r="B643" s="19" t="inlineStr">
        <is>
          <t>Corte promedio al dia Maroma</t>
        </is>
      </c>
      <c r="C643" s="19" t="inlineStr">
        <is>
          <t>hora</t>
        </is>
      </c>
      <c r="E643" s="19" t="n">
        <v>670</v>
      </c>
    </row>
    <row r="644">
      <c r="A644" s="19" t="n">
        <v>671</v>
      </c>
      <c r="B644" s="19" t="inlineStr">
        <is>
          <t>Amarre Maroma</t>
        </is>
      </c>
      <c r="C644" s="19" t="inlineStr">
        <is>
          <t>unidad</t>
        </is>
      </c>
      <c r="E644" s="19" t="n">
        <v>671</v>
      </c>
    </row>
    <row r="645">
      <c r="A645" s="19" t="n">
        <v>672</v>
      </c>
      <c r="B645" s="19" t="inlineStr">
        <is>
          <t>Desbejuque al dia El Refugio</t>
        </is>
      </c>
      <c r="C645" s="19" t="inlineStr">
        <is>
          <t>hora</t>
        </is>
      </c>
      <c r="E645" s="19" t="n">
        <v>672</v>
      </c>
    </row>
    <row r="646">
      <c r="A646" s="19" t="n">
        <v>673</v>
      </c>
      <c r="B646" s="19" t="inlineStr">
        <is>
          <t>Embolse y desflore refugio</t>
        </is>
      </c>
      <c r="C646" s="19" t="inlineStr">
        <is>
          <t>hectarea</t>
        </is>
      </c>
      <c r="E646" s="19" t="n">
        <v>673</v>
      </c>
    </row>
    <row r="647">
      <c r="A647" s="19" t="n">
        <v>674</v>
      </c>
      <c r="B647" s="19" t="inlineStr">
        <is>
          <t>Mantenimiento de riego adm festivo</t>
        </is>
      </c>
      <c r="C647" s="19" t="inlineStr">
        <is>
          <t>hora</t>
        </is>
      </c>
      <c r="E647" s="19" t="n">
        <v>674</v>
      </c>
    </row>
    <row r="648">
      <c r="A648" s="19" t="n">
        <v>675</v>
      </c>
      <c r="B648" s="19" t="inlineStr">
        <is>
          <t>Embolse y desflore El Refugio restivo</t>
        </is>
      </c>
      <c r="C648" s="19" t="inlineStr">
        <is>
          <t>hectarea</t>
        </is>
      </c>
      <c r="E648" s="19" t="n">
        <v>675</v>
      </c>
    </row>
    <row r="649">
      <c r="A649" s="19" t="n">
        <v>676</v>
      </c>
      <c r="B649" s="19" t="inlineStr">
        <is>
          <t>Reamarre al dia El Refugio</t>
        </is>
      </c>
      <c r="C649" s="19" t="inlineStr">
        <is>
          <t>hora</t>
        </is>
      </c>
      <c r="E649" s="19" t="n">
        <v>676</v>
      </c>
    </row>
    <row r="650">
      <c r="A650" s="19" t="n">
        <v>677</v>
      </c>
      <c r="B650" s="19" t="inlineStr">
        <is>
          <t>Proteccion de fruta El Refugio</t>
        </is>
      </c>
      <c r="C650" s="19" t="inlineStr">
        <is>
          <t>hectarea</t>
        </is>
      </c>
      <c r="E650" s="19" t="n">
        <v>677</v>
      </c>
    </row>
    <row r="651">
      <c r="A651" s="19" t="n">
        <v>678</v>
      </c>
      <c r="B651" s="19" t="inlineStr">
        <is>
          <t>Amarre El Refugio</t>
        </is>
      </c>
      <c r="C651" s="19" t="inlineStr">
        <is>
          <t>unidad</t>
        </is>
      </c>
      <c r="E651" s="19" t="n">
        <v>678</v>
      </c>
    </row>
    <row r="652">
      <c r="A652" s="19" t="n">
        <v>679</v>
      </c>
      <c r="B652" s="19" t="inlineStr">
        <is>
          <t>Alta paricion Maroma</t>
        </is>
      </c>
      <c r="C652" s="19" t="inlineStr">
        <is>
          <t>racimo</t>
        </is>
      </c>
      <c r="E652" s="19" t="n">
        <v>679</v>
      </c>
    </row>
    <row r="653">
      <c r="A653" s="19" t="n">
        <v>680</v>
      </c>
      <c r="B653" s="19" t="inlineStr">
        <is>
          <t>Deshoje Maroma</t>
        </is>
      </c>
      <c r="C653" s="19" t="inlineStr">
        <is>
          <t>hectarea</t>
        </is>
      </c>
      <c r="E653" s="19" t="n">
        <v>680</v>
      </c>
    </row>
    <row r="654">
      <c r="A654" s="19" t="n">
        <v>681</v>
      </c>
      <c r="B654" s="19" t="inlineStr">
        <is>
          <t>Alta paricion festivo</t>
        </is>
      </c>
      <c r="C654" s="19" t="inlineStr">
        <is>
          <t>racimo</t>
        </is>
      </c>
      <c r="E654" s="19" t="n">
        <v>681</v>
      </c>
    </row>
    <row r="655">
      <c r="A655" s="19" t="n">
        <v>682</v>
      </c>
      <c r="B655" s="19" t="inlineStr">
        <is>
          <t>Embolse y desflore</t>
        </is>
      </c>
      <c r="C655" s="19" t="inlineStr">
        <is>
          <t>unidad</t>
        </is>
      </c>
      <c r="E655" s="19" t="n">
        <v>682</v>
      </c>
    </row>
    <row r="656">
      <c r="A656" s="19" t="n">
        <v>683</v>
      </c>
      <c r="B656" s="19" t="inlineStr">
        <is>
          <t>Clasificacion de yumbolon Maroma</t>
        </is>
      </c>
      <c r="C656" s="19" t="inlineStr">
        <is>
          <t>hora</t>
        </is>
      </c>
      <c r="E656" s="19" t="n">
        <v>683</v>
      </c>
    </row>
    <row r="657">
      <c r="A657" s="19" t="n">
        <v>684</v>
      </c>
      <c r="B657" s="19" t="inlineStr">
        <is>
          <t>Embolse y desflore Maroma</t>
        </is>
      </c>
      <c r="C657" s="19" t="inlineStr">
        <is>
          <t>unidad</t>
        </is>
      </c>
      <c r="E657" s="19" t="n">
        <v>684</v>
      </c>
    </row>
    <row r="658">
      <c r="A658" s="19" t="n">
        <v>685</v>
      </c>
      <c r="B658" s="19" t="inlineStr">
        <is>
          <t>Seleccion de matas El Refugio</t>
        </is>
      </c>
      <c r="C658" s="19" t="inlineStr">
        <is>
          <t>hora</t>
        </is>
      </c>
      <c r="E658" s="19" t="n">
        <v>685</v>
      </c>
    </row>
    <row r="659">
      <c r="A659" s="19" t="n">
        <v>686</v>
      </c>
      <c r="B659" s="19" t="inlineStr">
        <is>
          <t>Topyban al dia</t>
        </is>
      </c>
      <c r="C659" s="19" t="inlineStr">
        <is>
          <t>hora</t>
        </is>
      </c>
      <c r="E659" s="19" t="n">
        <v>686</v>
      </c>
    </row>
    <row r="660">
      <c r="A660" s="19" t="n">
        <v>687</v>
      </c>
      <c r="B660" s="19" t="inlineStr">
        <is>
          <t>Arreglo de patio racimo</t>
        </is>
      </c>
      <c r="C660" s="19" t="inlineStr">
        <is>
          <t>hora</t>
        </is>
      </c>
      <c r="E660" s="19" t="n">
        <v>687</v>
      </c>
    </row>
    <row r="661">
      <c r="A661" s="19" t="n">
        <v>688</v>
      </c>
      <c r="B661" s="19" t="inlineStr">
        <is>
          <t>Operador de motosierra</t>
        </is>
      </c>
      <c r="C661" s="19" t="inlineStr">
        <is>
          <t>hora</t>
        </is>
      </c>
      <c r="E661" s="19" t="n">
        <v>688</v>
      </c>
    </row>
    <row r="662">
      <c r="A662" s="19" t="n">
        <v>689</v>
      </c>
      <c r="B662" s="19" t="inlineStr">
        <is>
          <t>Ayudante de motosierra</t>
        </is>
      </c>
      <c r="C662" s="19" t="inlineStr">
        <is>
          <t>hora</t>
        </is>
      </c>
      <c r="E662" s="19" t="n">
        <v>689</v>
      </c>
    </row>
    <row r="663">
      <c r="A663" s="19" t="n">
        <v>690</v>
      </c>
      <c r="B663" s="19" t="inlineStr">
        <is>
          <t>Lavada de tuberias</t>
        </is>
      </c>
      <c r="C663" s="19" t="inlineStr">
        <is>
          <t>hora</t>
        </is>
      </c>
      <c r="E663" s="19" t="n">
        <v>690</v>
      </c>
    </row>
    <row r="664">
      <c r="A664" s="19" t="n">
        <v>691</v>
      </c>
      <c r="B664" s="19" t="inlineStr">
        <is>
          <t>Ayudante de moko festivo</t>
        </is>
      </c>
      <c r="C664" s="19" t="inlineStr">
        <is>
          <t>hora</t>
        </is>
      </c>
      <c r="E664" s="19" t="n">
        <v>691</v>
      </c>
    </row>
    <row r="665">
      <c r="A665" s="19" t="n">
        <v>692</v>
      </c>
      <c r="B665" s="19" t="inlineStr">
        <is>
          <t>Yumbolon cinta gris</t>
        </is>
      </c>
      <c r="C665" s="19" t="inlineStr">
        <is>
          <t>racimo</t>
        </is>
      </c>
      <c r="E665" s="19" t="n">
        <v>692</v>
      </c>
    </row>
    <row r="666">
      <c r="A666" s="19" t="n">
        <v>693</v>
      </c>
      <c r="B666" s="19" t="inlineStr">
        <is>
          <t>Yumbolon cinta verde</t>
        </is>
      </c>
      <c r="C666" s="19" t="inlineStr">
        <is>
          <t>racimo</t>
        </is>
      </c>
      <c r="E666" s="19" t="n">
        <v>693</v>
      </c>
    </row>
    <row r="667">
      <c r="A667" s="19" t="n">
        <v>694</v>
      </c>
      <c r="B667" s="19" t="inlineStr">
        <is>
          <t>Yumbolon cinta cafe</t>
        </is>
      </c>
      <c r="C667" s="19" t="inlineStr">
        <is>
          <t>racimo</t>
        </is>
      </c>
      <c r="E667" s="19" t="n">
        <v>694</v>
      </c>
    </row>
    <row r="668">
      <c r="A668" s="19" t="n">
        <v>695</v>
      </c>
      <c r="B668" s="19" t="inlineStr">
        <is>
          <t>Yumbolon cinta azul</t>
        </is>
      </c>
      <c r="C668" s="19" t="inlineStr">
        <is>
          <t>racimo</t>
        </is>
      </c>
      <c r="E668" s="19" t="n">
        <v>695</v>
      </c>
    </row>
    <row r="669">
      <c r="A669" s="19" t="n">
        <v>696</v>
      </c>
      <c r="B669" s="19" t="inlineStr">
        <is>
          <t>Yumbolon cinta blanca</t>
        </is>
      </c>
      <c r="C669" s="19" t="inlineStr">
        <is>
          <t>racimo</t>
        </is>
      </c>
      <c r="E669" s="19" t="n">
        <v>696</v>
      </c>
    </row>
    <row r="670">
      <c r="A670" s="19" t="n">
        <v>697</v>
      </c>
      <c r="B670" s="19" t="inlineStr">
        <is>
          <t>Yumbolon cinta negra</t>
        </is>
      </c>
      <c r="C670" s="19" t="inlineStr">
        <is>
          <t>racimo</t>
        </is>
      </c>
      <c r="E670" s="19" t="n">
        <v>697</v>
      </c>
    </row>
    <row r="671">
      <c r="A671" s="19" t="n">
        <v>698</v>
      </c>
      <c r="B671" s="19" t="inlineStr">
        <is>
          <t>Yumbolon cinta morada</t>
        </is>
      </c>
      <c r="C671" s="19" t="inlineStr">
        <is>
          <t>racimo</t>
        </is>
      </c>
      <c r="E671" s="19" t="n">
        <v>698</v>
      </c>
    </row>
    <row r="672">
      <c r="A672" s="19" t="n">
        <v>699</v>
      </c>
      <c r="B672" s="19" t="inlineStr">
        <is>
          <t>Yumbolon cinta amarilla</t>
        </is>
      </c>
      <c r="C672" s="19" t="inlineStr">
        <is>
          <t>racimo</t>
        </is>
      </c>
      <c r="E672" s="19" t="n">
        <v>699</v>
      </c>
    </row>
    <row r="673">
      <c r="A673" s="19" t="n">
        <v>700</v>
      </c>
      <c r="B673" s="19" t="inlineStr">
        <is>
          <t>Yumbolon cinta roja</t>
        </is>
      </c>
      <c r="C673" s="19" t="inlineStr">
        <is>
          <t>racimo</t>
        </is>
      </c>
      <c r="E673" s="19" t="n">
        <v>700</v>
      </c>
    </row>
    <row r="674">
      <c r="A674" s="19" t="n">
        <v>701</v>
      </c>
      <c r="B674" s="19" t="inlineStr">
        <is>
          <t>Amarre cinta gris</t>
        </is>
      </c>
      <c r="C674" s="19" t="inlineStr">
        <is>
          <t>racimo</t>
        </is>
      </c>
      <c r="E674" s="19" t="n">
        <v>701</v>
      </c>
    </row>
    <row r="675">
      <c r="A675" s="19" t="n">
        <v>702</v>
      </c>
      <c r="B675" s="19" t="inlineStr">
        <is>
          <t>Amarre cinta verde</t>
        </is>
      </c>
      <c r="C675" s="19" t="inlineStr">
        <is>
          <t>racimo</t>
        </is>
      </c>
      <c r="E675" s="19" t="n">
        <v>702</v>
      </c>
    </row>
    <row r="676">
      <c r="A676" s="19" t="n">
        <v>703</v>
      </c>
      <c r="B676" s="19" t="inlineStr">
        <is>
          <t>Amarre cinta cafe</t>
        </is>
      </c>
      <c r="C676" s="19" t="inlineStr">
        <is>
          <t>racimo</t>
        </is>
      </c>
      <c r="E676" s="19" t="n">
        <v>703</v>
      </c>
    </row>
    <row r="677">
      <c r="A677" s="19" t="n">
        <v>704</v>
      </c>
      <c r="B677" s="19" t="inlineStr">
        <is>
          <t>Amarre cinta azul</t>
        </is>
      </c>
      <c r="C677" s="19" t="inlineStr">
        <is>
          <t>racimo</t>
        </is>
      </c>
      <c r="E677" s="19" t="n">
        <v>704</v>
      </c>
    </row>
    <row r="678">
      <c r="A678" s="19" t="n">
        <v>705</v>
      </c>
      <c r="B678" s="19" t="inlineStr">
        <is>
          <t>Amarre cinta blanca</t>
        </is>
      </c>
      <c r="C678" s="19" t="inlineStr">
        <is>
          <t>racimo</t>
        </is>
      </c>
      <c r="E678" s="19" t="n">
        <v>705</v>
      </c>
    </row>
    <row r="679">
      <c r="A679" s="19" t="n">
        <v>706</v>
      </c>
      <c r="B679" s="19" t="inlineStr">
        <is>
          <t>Amarre cinta negra</t>
        </is>
      </c>
      <c r="C679" s="19" t="inlineStr">
        <is>
          <t>racimo</t>
        </is>
      </c>
      <c r="E679" s="19" t="n">
        <v>706</v>
      </c>
    </row>
    <row r="680">
      <c r="A680" s="19" t="n">
        <v>707</v>
      </c>
      <c r="B680" s="19" t="inlineStr">
        <is>
          <t>Amarre cinta morada</t>
        </is>
      </c>
      <c r="C680" s="19" t="inlineStr">
        <is>
          <t>racimo</t>
        </is>
      </c>
      <c r="E680" s="19" t="n">
        <v>707</v>
      </c>
    </row>
    <row r="681">
      <c r="A681" s="19" t="n">
        <v>708</v>
      </c>
      <c r="B681" s="19" t="inlineStr">
        <is>
          <t>Amarre cinta amarilla</t>
        </is>
      </c>
      <c r="C681" s="19" t="inlineStr">
        <is>
          <t>racimo</t>
        </is>
      </c>
      <c r="E681" s="19" t="n">
        <v>708</v>
      </c>
    </row>
    <row r="682">
      <c r="A682" s="19" t="n">
        <v>709</v>
      </c>
      <c r="B682" s="19" t="inlineStr">
        <is>
          <t>Amarre cinta roja</t>
        </is>
      </c>
      <c r="C682" s="19" t="inlineStr">
        <is>
          <t>racimo</t>
        </is>
      </c>
      <c r="E682" s="19" t="n">
        <v>709</v>
      </c>
    </row>
    <row r="683">
      <c r="A683" s="19" t="n">
        <v>710</v>
      </c>
      <c r="B683" s="19" t="inlineStr">
        <is>
          <t>Embolse cinta gris</t>
        </is>
      </c>
      <c r="C683" s="19" t="inlineStr">
        <is>
          <t>racimo</t>
        </is>
      </c>
      <c r="E683" s="19" t="n">
        <v>710</v>
      </c>
    </row>
    <row r="684">
      <c r="A684" s="19" t="n">
        <v>711</v>
      </c>
      <c r="B684" s="19" t="inlineStr">
        <is>
          <t>Embolse cinta verde</t>
        </is>
      </c>
      <c r="C684" s="19" t="inlineStr">
        <is>
          <t>racimo</t>
        </is>
      </c>
      <c r="E684" s="19" t="n">
        <v>711</v>
      </c>
    </row>
    <row r="685">
      <c r="A685" s="19" t="n">
        <v>712</v>
      </c>
      <c r="B685" s="19" t="inlineStr">
        <is>
          <t>Embolse cinta cafe</t>
        </is>
      </c>
      <c r="C685" s="19" t="inlineStr">
        <is>
          <t>racimo</t>
        </is>
      </c>
      <c r="E685" s="19" t="n">
        <v>712</v>
      </c>
    </row>
    <row r="686">
      <c r="A686" s="19" t="n">
        <v>713</v>
      </c>
      <c r="B686" s="19" t="inlineStr">
        <is>
          <t>Embolse cinta azul</t>
        </is>
      </c>
      <c r="C686" s="19" t="inlineStr">
        <is>
          <t>racimo</t>
        </is>
      </c>
      <c r="E686" s="19" t="n">
        <v>713</v>
      </c>
    </row>
    <row r="687">
      <c r="A687" s="19" t="n">
        <v>714</v>
      </c>
      <c r="B687" s="19" t="inlineStr">
        <is>
          <t>Embolse cinta blanca</t>
        </is>
      </c>
      <c r="C687" s="19" t="inlineStr">
        <is>
          <t>racimo</t>
        </is>
      </c>
      <c r="E687" s="19" t="n">
        <v>714</v>
      </c>
    </row>
    <row r="688">
      <c r="A688" s="19" t="n">
        <v>715</v>
      </c>
      <c r="B688" s="19" t="inlineStr">
        <is>
          <t>Embolse cinta negra</t>
        </is>
      </c>
      <c r="C688" s="19" t="inlineStr">
        <is>
          <t>racimo</t>
        </is>
      </c>
      <c r="E688" s="19" t="n">
        <v>715</v>
      </c>
    </row>
    <row r="689">
      <c r="A689" s="19" t="n">
        <v>716</v>
      </c>
      <c r="B689" s="19" t="inlineStr">
        <is>
          <t>Embolse cinta morada</t>
        </is>
      </c>
      <c r="C689" s="19" t="inlineStr">
        <is>
          <t>racimo</t>
        </is>
      </c>
      <c r="E689" s="19" t="n">
        <v>716</v>
      </c>
    </row>
    <row r="690">
      <c r="A690" s="19" t="n">
        <v>717</v>
      </c>
      <c r="B690" s="19" t="inlineStr">
        <is>
          <t>Embolse cinta amarilla</t>
        </is>
      </c>
      <c r="C690" s="19" t="inlineStr">
        <is>
          <t>racimo</t>
        </is>
      </c>
      <c r="E690" s="19" t="n">
        <v>717</v>
      </c>
    </row>
    <row r="691">
      <c r="A691" s="19" t="n">
        <v>718</v>
      </c>
      <c r="B691" s="19" t="inlineStr">
        <is>
          <t>Embolse cinta roja</t>
        </is>
      </c>
      <c r="C691" s="19" t="inlineStr">
        <is>
          <t>racimo</t>
        </is>
      </c>
      <c r="E691" s="19" t="n">
        <v>718</v>
      </c>
    </row>
    <row r="692">
      <c r="A692" s="19" t="n">
        <v>719</v>
      </c>
      <c r="B692" s="19" t="inlineStr">
        <is>
          <t>Corte promedio Maroma</t>
        </is>
      </c>
      <c r="C692" s="19" t="inlineStr">
        <is>
          <t>unidad</t>
        </is>
      </c>
      <c r="E692" s="19" t="n">
        <v>719</v>
      </c>
    </row>
    <row r="693">
      <c r="A693" s="19" t="n">
        <v>720</v>
      </c>
      <c r="B693" s="19" t="inlineStr">
        <is>
          <t>Integracion empresa</t>
        </is>
      </c>
      <c r="C693" s="19" t="inlineStr">
        <is>
          <t>hora</t>
        </is>
      </c>
      <c r="E693" s="19" t="n">
        <v>720</v>
      </c>
    </row>
    <row r="694">
      <c r="A694" s="19" t="n">
        <v>721</v>
      </c>
      <c r="B694" s="19" t="inlineStr">
        <is>
          <t>Repique de plastico</t>
        </is>
      </c>
      <c r="C694" s="19" t="inlineStr">
        <is>
          <t>hora</t>
        </is>
      </c>
      <c r="E694" s="19" t="n">
        <v>721</v>
      </c>
    </row>
    <row r="695">
      <c r="A695" s="19" t="n">
        <v>722</v>
      </c>
      <c r="B695" s="19" t="inlineStr">
        <is>
          <t>Compostell</t>
        </is>
      </c>
      <c r="C695" s="19" t="inlineStr">
        <is>
          <t>hora</t>
        </is>
      </c>
      <c r="E695" s="19" t="n">
        <v>722</v>
      </c>
    </row>
    <row r="696">
      <c r="A696" s="19" t="n">
        <v>723</v>
      </c>
      <c r="B696" s="19" t="inlineStr">
        <is>
          <t>Embolse cinta gris Maroma</t>
        </is>
      </c>
      <c r="C696" s="19" t="inlineStr">
        <is>
          <t>unidad</t>
        </is>
      </c>
      <c r="E696" s="19" t="n">
        <v>723</v>
      </c>
    </row>
    <row r="697">
      <c r="A697" s="19" t="n">
        <v>724</v>
      </c>
      <c r="B697" s="19" t="inlineStr">
        <is>
          <t>Embolse cinta verde Maroma</t>
        </is>
      </c>
      <c r="C697" s="19" t="inlineStr">
        <is>
          <t>unidad</t>
        </is>
      </c>
      <c r="E697" s="19" t="n">
        <v>724</v>
      </c>
    </row>
    <row r="698">
      <c r="A698" s="19" t="n">
        <v>725</v>
      </c>
      <c r="B698" s="19" t="inlineStr">
        <is>
          <t>Embolse cinta cafe Maroma</t>
        </is>
      </c>
      <c r="C698" s="19" t="inlineStr">
        <is>
          <t>unidad</t>
        </is>
      </c>
      <c r="E698" s="19" t="n">
        <v>725</v>
      </c>
    </row>
    <row r="699">
      <c r="A699" s="19" t="n">
        <v>726</v>
      </c>
      <c r="B699" s="19" t="inlineStr">
        <is>
          <t>Embolse cinta azul Maroma</t>
        </is>
      </c>
      <c r="C699" s="19" t="inlineStr">
        <is>
          <t>unidad</t>
        </is>
      </c>
      <c r="E699" s="19" t="n">
        <v>726</v>
      </c>
    </row>
    <row r="700">
      <c r="A700" s="19" t="n">
        <v>727</v>
      </c>
      <c r="B700" s="19" t="inlineStr">
        <is>
          <t>Embolse cinta blanca Maroma</t>
        </is>
      </c>
      <c r="C700" s="19" t="inlineStr">
        <is>
          <t>unidad</t>
        </is>
      </c>
      <c r="E700" s="19" t="n">
        <v>727</v>
      </c>
    </row>
    <row r="701">
      <c r="A701" s="19" t="n">
        <v>728</v>
      </c>
      <c r="B701" s="19" t="inlineStr">
        <is>
          <t>Embolse cinta negra Maroma</t>
        </is>
      </c>
      <c r="C701" s="19" t="inlineStr">
        <is>
          <t>unidad</t>
        </is>
      </c>
      <c r="E701" s="19" t="n">
        <v>728</v>
      </c>
    </row>
    <row r="702">
      <c r="A702" s="19" t="n">
        <v>729</v>
      </c>
      <c r="B702" s="19" t="inlineStr">
        <is>
          <t>Embolse cinta morada Maroma</t>
        </is>
      </c>
      <c r="C702" s="19" t="inlineStr">
        <is>
          <t>unidad</t>
        </is>
      </c>
      <c r="E702" s="19" t="n">
        <v>729</v>
      </c>
    </row>
    <row r="703">
      <c r="A703" s="19" t="n">
        <v>730</v>
      </c>
      <c r="B703" s="19" t="inlineStr">
        <is>
          <t>Embolse cinta amarilla Maroma</t>
        </is>
      </c>
      <c r="C703" s="19" t="inlineStr">
        <is>
          <t>unidad</t>
        </is>
      </c>
      <c r="E703" s="19" t="n">
        <v>730</v>
      </c>
    </row>
    <row r="704">
      <c r="A704" s="19" t="n">
        <v>731</v>
      </c>
      <c r="B704" s="19" t="inlineStr">
        <is>
          <t>Embolse cinta roja Maroma</t>
        </is>
      </c>
      <c r="C704" s="19" t="inlineStr">
        <is>
          <t>unidad</t>
        </is>
      </c>
      <c r="E704" s="19" t="n">
        <v>731</v>
      </c>
    </row>
    <row r="705">
      <c r="A705" s="19" t="n">
        <v>732</v>
      </c>
      <c r="B705" s="19" t="inlineStr">
        <is>
          <t>Recogida de aspersores</t>
        </is>
      </c>
      <c r="C705" s="19" t="inlineStr">
        <is>
          <t>hora</t>
        </is>
      </c>
      <c r="E705" s="19" t="n">
        <v>732</v>
      </c>
    </row>
    <row r="706">
      <c r="A706" s="19" t="n">
        <v>733</v>
      </c>
      <c r="B706" s="19" t="inlineStr">
        <is>
          <t>Hechura y tapada de zanja</t>
        </is>
      </c>
      <c r="C706" s="19" t="inlineStr">
        <is>
          <t>metro</t>
        </is>
      </c>
      <c r="E706" s="19" t="n">
        <v>733</v>
      </c>
    </row>
    <row r="707">
      <c r="A707" s="19" t="n">
        <v>734</v>
      </c>
      <c r="B707" s="19" t="inlineStr">
        <is>
          <t>Arreglo tuberias sanitarias</t>
        </is>
      </c>
      <c r="C707" s="19" t="inlineStr">
        <is>
          <t>hora</t>
        </is>
      </c>
      <c r="E707" s="19" t="n">
        <v>734</v>
      </c>
    </row>
    <row r="708">
      <c r="A708" s="19" t="n">
        <v>735</v>
      </c>
      <c r="B708" s="19" t="inlineStr">
        <is>
          <t>Embolse cinta beige</t>
        </is>
      </c>
      <c r="C708" s="19" t="inlineStr">
        <is>
          <t>unidad</t>
        </is>
      </c>
      <c r="E708" s="19" t="n">
        <v>735</v>
      </c>
    </row>
    <row r="709">
      <c r="A709" s="19" t="n">
        <v>736</v>
      </c>
      <c r="B709" s="19" t="inlineStr">
        <is>
          <t>Aseo de empacadora Maroma</t>
        </is>
      </c>
      <c r="C709" s="19" t="inlineStr">
        <is>
          <t>hora</t>
        </is>
      </c>
      <c r="E709" s="19" t="n">
        <v>736</v>
      </c>
    </row>
    <row r="710">
      <c r="A710" s="19" t="n">
        <v>737</v>
      </c>
      <c r="B710" s="19" t="inlineStr">
        <is>
          <t>Amarre cinta beige</t>
        </is>
      </c>
      <c r="C710" s="19" t="inlineStr">
        <is>
          <t>unidad</t>
        </is>
      </c>
      <c r="E710" s="19" t="n">
        <v>737</v>
      </c>
    </row>
    <row r="711">
      <c r="A711" s="19" t="n">
        <v>738</v>
      </c>
      <c r="B711" s="19" t="inlineStr">
        <is>
          <t>Hechura de portones</t>
        </is>
      </c>
      <c r="C711" s="19" t="inlineStr">
        <is>
          <t>hora</t>
        </is>
      </c>
      <c r="E711" s="19" t="n">
        <v>738</v>
      </c>
    </row>
    <row r="712">
      <c r="A712" s="19" t="n">
        <v>739</v>
      </c>
      <c r="B712" s="19" t="inlineStr">
        <is>
          <t>Embolse cinta beige Maroma</t>
        </is>
      </c>
      <c r="C712" s="19" t="inlineStr">
        <is>
          <t>unidad</t>
        </is>
      </c>
      <c r="E712" s="19" t="n">
        <v>739</v>
      </c>
    </row>
    <row r="713">
      <c r="A713" s="19" t="n">
        <v>740</v>
      </c>
      <c r="B713" s="19" t="inlineStr">
        <is>
          <t>Despeche y desvio al dia</t>
        </is>
      </c>
      <c r="C713" s="19" t="inlineStr">
        <is>
          <t>hora</t>
        </is>
      </c>
      <c r="E713" s="19" t="n">
        <v>740</v>
      </c>
    </row>
    <row r="714">
      <c r="A714" s="19" t="n">
        <v>741</v>
      </c>
      <c r="B714" s="19" t="inlineStr">
        <is>
          <t>Embolse cinta mecate</t>
        </is>
      </c>
      <c r="C714" s="19" t="inlineStr">
        <is>
          <t>unidad</t>
        </is>
      </c>
      <c r="E714" s="19" t="n">
        <v>741</v>
      </c>
    </row>
    <row r="715">
      <c r="A715" s="19" t="n">
        <v>742</v>
      </c>
      <c r="B715" s="19" t="inlineStr">
        <is>
          <t>Embolse cinta mecate festivo</t>
        </is>
      </c>
      <c r="C715" s="19" t="inlineStr">
        <is>
          <t>unidad</t>
        </is>
      </c>
      <c r="E715" s="19" t="n">
        <v>742</v>
      </c>
    </row>
    <row r="716">
      <c r="A716" s="19" t="n">
        <v>743</v>
      </c>
      <c r="B716" s="19" t="inlineStr">
        <is>
          <t>Yumbolon cinta beige</t>
        </is>
      </c>
      <c r="C716" s="19" t="inlineStr">
        <is>
          <t>unidad</t>
        </is>
      </c>
      <c r="E716" s="19" t="n">
        <v>743</v>
      </c>
    </row>
    <row r="717">
      <c r="A717" s="19" t="n">
        <v>744</v>
      </c>
      <c r="B717" s="19" t="inlineStr">
        <is>
          <t>Yumbolon cinta mecate</t>
        </is>
      </c>
      <c r="C717" s="19" t="inlineStr">
        <is>
          <t>unidad</t>
        </is>
      </c>
      <c r="E717" s="19" t="n">
        <v>744</v>
      </c>
    </row>
    <row r="718">
      <c r="A718" s="19" t="n">
        <v>745</v>
      </c>
      <c r="B718" s="19" t="inlineStr">
        <is>
          <t>Hechura de zanja</t>
        </is>
      </c>
      <c r="C718" s="19" t="inlineStr">
        <is>
          <t>metro</t>
        </is>
      </c>
      <c r="E718" s="19" t="n">
        <v>745</v>
      </c>
    </row>
    <row r="719">
      <c r="A719" s="19" t="n">
        <v>746</v>
      </c>
      <c r="B719" s="19" t="inlineStr">
        <is>
          <t>Destape de manguera</t>
        </is>
      </c>
      <c r="C719" s="19" t="inlineStr">
        <is>
          <t>hora</t>
        </is>
      </c>
      <c r="E719" s="19" t="n">
        <v>746</v>
      </c>
    </row>
    <row r="720">
      <c r="A720" s="19" t="n">
        <v>747</v>
      </c>
      <c r="B720" s="19" t="inlineStr">
        <is>
          <t>Reparacion de tuberia</t>
        </is>
      </c>
      <c r="C720" s="19" t="inlineStr">
        <is>
          <t>hora</t>
        </is>
      </c>
      <c r="E720" s="19" t="n">
        <v>747</v>
      </c>
    </row>
    <row r="721">
      <c r="A721" s="19" t="n">
        <v>748</v>
      </c>
      <c r="B721" s="19" t="inlineStr">
        <is>
          <t>Embolse y amarre cinta gris</t>
        </is>
      </c>
      <c r="C721" s="19" t="inlineStr">
        <is>
          <t>racimo</t>
        </is>
      </c>
      <c r="E721" s="19" t="n">
        <v>748</v>
      </c>
    </row>
    <row r="722">
      <c r="A722" s="19" t="n">
        <v>749</v>
      </c>
      <c r="B722" s="19" t="inlineStr">
        <is>
          <t>Embolse y amarre cinta verde</t>
        </is>
      </c>
      <c r="C722" s="19" t="inlineStr">
        <is>
          <t>racimo</t>
        </is>
      </c>
      <c r="E722" s="19" t="n">
        <v>749</v>
      </c>
    </row>
    <row r="723">
      <c r="A723" s="19" t="n">
        <v>750</v>
      </c>
      <c r="B723" s="19" t="inlineStr">
        <is>
          <t>Embolse y amarre cinta cafe</t>
        </is>
      </c>
      <c r="C723" s="19" t="inlineStr">
        <is>
          <t>racimo</t>
        </is>
      </c>
      <c r="E723" s="19" t="n">
        <v>750</v>
      </c>
    </row>
    <row r="724">
      <c r="A724" s="19" t="n">
        <v>751</v>
      </c>
      <c r="B724" s="19" t="inlineStr">
        <is>
          <t>Embolse y amarre cinta azul</t>
        </is>
      </c>
      <c r="C724" s="19" t="inlineStr">
        <is>
          <t>racimo</t>
        </is>
      </c>
      <c r="E724" s="19" t="n">
        <v>751</v>
      </c>
    </row>
    <row r="725">
      <c r="A725" s="19" t="n">
        <v>752</v>
      </c>
      <c r="B725" s="19" t="inlineStr">
        <is>
          <t>Embolse y amarre cinta blanca</t>
        </is>
      </c>
      <c r="C725" s="19" t="inlineStr">
        <is>
          <t>racimo</t>
        </is>
      </c>
      <c r="E725" s="19" t="n">
        <v>752</v>
      </c>
    </row>
    <row r="726">
      <c r="A726" s="19" t="n">
        <v>753</v>
      </c>
      <c r="B726" s="19" t="inlineStr">
        <is>
          <t>Embolse y amarre cinta negra</t>
        </is>
      </c>
      <c r="C726" s="19" t="inlineStr">
        <is>
          <t>racimo</t>
        </is>
      </c>
      <c r="E726" s="19" t="n">
        <v>753</v>
      </c>
    </row>
    <row r="727">
      <c r="A727" s="19" t="n">
        <v>754</v>
      </c>
      <c r="B727" s="19" t="inlineStr">
        <is>
          <t>Embolse y amarre cinta morada</t>
        </is>
      </c>
      <c r="C727" s="19" t="inlineStr">
        <is>
          <t>racimo</t>
        </is>
      </c>
      <c r="E727" s="19" t="n">
        <v>754</v>
      </c>
    </row>
    <row r="728">
      <c r="A728" s="19" t="n">
        <v>755</v>
      </c>
      <c r="B728" s="19" t="inlineStr">
        <is>
          <t>Embolse y amarre cinta amarilla</t>
        </is>
      </c>
      <c r="C728" s="19" t="inlineStr">
        <is>
          <t>racimo</t>
        </is>
      </c>
      <c r="E728" s="19" t="n">
        <v>755</v>
      </c>
    </row>
    <row r="729">
      <c r="A729" s="19" t="n">
        <v>756</v>
      </c>
      <c r="B729" s="19" t="inlineStr">
        <is>
          <t>Embolse y amarre cinta roja</t>
        </is>
      </c>
      <c r="C729" s="19" t="inlineStr">
        <is>
          <t>racimo</t>
        </is>
      </c>
      <c r="E729" s="19" t="n">
        <v>756</v>
      </c>
    </row>
    <row r="730">
      <c r="A730" s="19" t="n">
        <v>757</v>
      </c>
      <c r="B730" s="19" t="inlineStr">
        <is>
          <t>Embolse y amarre cinta beige</t>
        </is>
      </c>
      <c r="C730" s="19" t="inlineStr">
        <is>
          <t>racimo</t>
        </is>
      </c>
      <c r="E730" s="19" t="n">
        <v>757</v>
      </c>
    </row>
    <row r="731">
      <c r="A731" s="19" t="n">
        <v>758</v>
      </c>
      <c r="B731" s="19" t="inlineStr">
        <is>
          <t>Embolse y amarre cinta mecate</t>
        </is>
      </c>
      <c r="C731" s="19" t="inlineStr">
        <is>
          <t>racimo</t>
        </is>
      </c>
      <c r="E731" s="19" t="n">
        <v>758</v>
      </c>
    </row>
    <row r="732">
      <c r="A732" s="19" t="n">
        <v>759</v>
      </c>
      <c r="B732" s="19" t="inlineStr">
        <is>
          <t>Viaje tractomula lechero</t>
        </is>
      </c>
      <c r="C732" s="19" t="inlineStr">
        <is>
          <t>dia</t>
        </is>
      </c>
      <c r="E732" s="19" t="n">
        <v>759</v>
      </c>
    </row>
    <row r="733">
      <c r="A733" s="19" t="n">
        <v>760</v>
      </c>
      <c r="B733" s="19" t="inlineStr">
        <is>
          <t>Amarre cinta mecate</t>
        </is>
      </c>
      <c r="C733" s="19" t="inlineStr">
        <is>
          <t>unidad</t>
        </is>
      </c>
      <c r="E733" s="19" t="n">
        <v>760</v>
      </c>
    </row>
    <row r="734">
      <c r="A734" s="19" t="n">
        <v>761</v>
      </c>
      <c r="B734" s="19" t="inlineStr">
        <is>
          <t>Dominical promediado transporte</t>
        </is>
      </c>
      <c r="C734" s="19" t="inlineStr">
        <is>
          <t>jornal</t>
        </is>
      </c>
      <c r="E734" s="19" t="n">
        <v>761</v>
      </c>
    </row>
    <row r="735">
      <c r="A735" s="19" t="n">
        <v>762</v>
      </c>
      <c r="B735" s="19" t="inlineStr">
        <is>
          <t>Saldo pendiente riego</t>
        </is>
      </c>
      <c r="C735" s="19" t="inlineStr">
        <is>
          <t>hora</t>
        </is>
      </c>
      <c r="E735" s="19" t="n">
        <v>762</v>
      </c>
    </row>
    <row r="736">
      <c r="A736" s="19" t="n">
        <v>763</v>
      </c>
      <c r="B736" s="19" t="inlineStr">
        <is>
          <t>Saldo pendiente motorista</t>
        </is>
      </c>
      <c r="C736" s="19" t="inlineStr">
        <is>
          <t>hora</t>
        </is>
      </c>
      <c r="E736" s="19" t="n">
        <v>763</v>
      </c>
    </row>
    <row r="737">
      <c r="A737" s="19" t="n">
        <v>764</v>
      </c>
      <c r="B737" s="19" t="inlineStr">
        <is>
          <t>Saldo pendiente yumbolon</t>
        </is>
      </c>
      <c r="C737" s="19" t="inlineStr">
        <is>
          <t>racimo</t>
        </is>
      </c>
      <c r="E737" s="19" t="n">
        <v>764</v>
      </c>
    </row>
    <row r="738">
      <c r="A738" s="19" t="n">
        <v>765</v>
      </c>
      <c r="B738" s="19" t="inlineStr">
        <is>
          <t>Festivo promediado transporte</t>
        </is>
      </c>
      <c r="C738" s="19" t="inlineStr">
        <is>
          <t>hora</t>
        </is>
      </c>
      <c r="E738" s="19" t="n">
        <v>765</v>
      </c>
    </row>
    <row r="739">
      <c r="A739" s="19" t="n">
        <v>766</v>
      </c>
      <c r="B739" s="19" t="inlineStr">
        <is>
          <t>Dominical promediado maquinaria</t>
        </is>
      </c>
      <c r="C739" s="19" t="inlineStr">
        <is>
          <t>hora</t>
        </is>
      </c>
      <c r="E739" s="19" t="n">
        <v>766</v>
      </c>
    </row>
    <row r="740">
      <c r="A740" s="19" t="n">
        <v>767</v>
      </c>
      <c r="B740" s="19" t="inlineStr">
        <is>
          <t>Festivo promediado maquinaria</t>
        </is>
      </c>
      <c r="C740" s="19" t="inlineStr">
        <is>
          <t>hora</t>
        </is>
      </c>
      <c r="E740" s="19" t="n">
        <v>767</v>
      </c>
    </row>
    <row r="741">
      <c r="A741" s="19" t="n">
        <v>768</v>
      </c>
      <c r="B741" s="19" t="inlineStr">
        <is>
          <t>Dominical promediado celaduria</t>
        </is>
      </c>
      <c r="C741" s="19" t="inlineStr">
        <is>
          <t>hora</t>
        </is>
      </c>
      <c r="E741" s="19" t="n">
        <v>768</v>
      </c>
    </row>
    <row r="742">
      <c r="A742" s="19" t="n">
        <v>769</v>
      </c>
      <c r="B742" s="19" t="inlineStr">
        <is>
          <t>Festivo promediado celaduria</t>
        </is>
      </c>
      <c r="C742" s="19" t="inlineStr">
        <is>
          <t>hora</t>
        </is>
      </c>
      <c r="E742" s="19" t="n">
        <v>769</v>
      </c>
    </row>
    <row r="743">
      <c r="A743" s="19" t="n">
        <v>770</v>
      </c>
      <c r="B743" s="19" t="inlineStr">
        <is>
          <t>Embolse y desflore al dia festivo</t>
        </is>
      </c>
      <c r="C743" s="19" t="inlineStr">
        <is>
          <t>hora</t>
        </is>
      </c>
      <c r="E743" s="19" t="n">
        <v>770</v>
      </c>
    </row>
    <row r="744">
      <c r="A744" s="19" t="n">
        <v>771</v>
      </c>
      <c r="B744" s="19" t="inlineStr">
        <is>
          <t>Dominical promediado riego</t>
        </is>
      </c>
      <c r="C744" s="19" t="inlineStr">
        <is>
          <t>hora</t>
        </is>
      </c>
      <c r="E744" s="19" t="n">
        <v>771</v>
      </c>
    </row>
    <row r="745">
      <c r="A745" s="19" t="n">
        <v>772</v>
      </c>
      <c r="B745" s="19" t="inlineStr">
        <is>
          <t>Festivo promediado riego</t>
        </is>
      </c>
      <c r="C745" s="19" t="inlineStr">
        <is>
          <t>hora</t>
        </is>
      </c>
      <c r="E745" s="19" t="n">
        <v>772</v>
      </c>
    </row>
    <row r="746">
      <c r="A746" s="19" t="n">
        <v>773</v>
      </c>
      <c r="B746" s="19" t="inlineStr">
        <is>
          <t>Dominical promediado motor</t>
        </is>
      </c>
      <c r="C746" s="19" t="inlineStr">
        <is>
          <t>hora</t>
        </is>
      </c>
      <c r="E746" s="19" t="n">
        <v>773</v>
      </c>
    </row>
    <row r="747">
      <c r="A747" s="19" t="n">
        <v>774</v>
      </c>
      <c r="B747" s="19" t="inlineStr">
        <is>
          <t>Festivo promediado motor</t>
        </is>
      </c>
      <c r="C747" s="19" t="inlineStr">
        <is>
          <t>hora</t>
        </is>
      </c>
      <c r="E747" s="19" t="n">
        <v>774</v>
      </c>
    </row>
    <row r="748">
      <c r="A748" s="19" t="n">
        <v>775</v>
      </c>
      <c r="B748" s="19" t="inlineStr">
        <is>
          <t>Auxilio de alimentacion La Alegria</t>
        </is>
      </c>
      <c r="C748" s="19" t="inlineStr">
        <is>
          <t>dia</t>
        </is>
      </c>
      <c r="E748" s="19" t="n">
        <v>775</v>
      </c>
    </row>
    <row r="749">
      <c r="A749" s="19" t="n">
        <v>776</v>
      </c>
      <c r="B749" s="19" t="inlineStr">
        <is>
          <t>Saldo pendiente desmache</t>
        </is>
      </c>
      <c r="C749" s="19" t="inlineStr">
        <is>
          <t>unidad</t>
        </is>
      </c>
      <c r="E749" s="19" t="n">
        <v>776</v>
      </c>
    </row>
    <row r="750">
      <c r="A750" s="19" t="n">
        <v>777</v>
      </c>
      <c r="B750" s="19" t="inlineStr">
        <is>
          <t>Asesor de sistema de gestion</t>
        </is>
      </c>
      <c r="C750" s="19" t="inlineStr">
        <is>
          <t>dia</t>
        </is>
      </c>
      <c r="E750" s="19" t="n">
        <v>777</v>
      </c>
    </row>
    <row r="751">
      <c r="A751" s="19" t="n">
        <v>778</v>
      </c>
      <c r="B751" s="19" t="inlineStr">
        <is>
          <t>Lic maternidad aprendiz sena adm</t>
        </is>
      </c>
      <c r="C751" s="19" t="inlineStr">
        <is>
          <t>dia</t>
        </is>
      </c>
      <c r="E751" s="19" t="n">
        <v>778</v>
      </c>
    </row>
    <row r="752">
      <c r="A752" s="19" t="n">
        <v>779</v>
      </c>
      <c r="B752" s="19" t="inlineStr">
        <is>
          <t>Incapacidad general adm</t>
        </is>
      </c>
      <c r="C752" s="19" t="inlineStr">
        <is>
          <t>dia</t>
        </is>
      </c>
      <c r="E752" s="19" t="n">
        <v>779</v>
      </c>
    </row>
    <row r="753">
      <c r="A753" s="19" t="n">
        <v>780</v>
      </c>
      <c r="B753" s="19" t="inlineStr">
        <is>
          <t>Repase labor mala calidad deshoje</t>
        </is>
      </c>
      <c r="C753" s="19" t="inlineStr">
        <is>
          <t>hora</t>
        </is>
      </c>
      <c r="E753" s="19" t="n">
        <v>780</v>
      </c>
    </row>
    <row r="754">
      <c r="A754" s="19" t="n">
        <v>781</v>
      </c>
      <c r="B754" s="19" t="inlineStr">
        <is>
          <t>Bonificacion fertilizacion</t>
        </is>
      </c>
      <c r="C754" s="19" t="inlineStr">
        <is>
          <t>dia</t>
        </is>
      </c>
      <c r="E754" s="19" t="n">
        <v>781</v>
      </c>
    </row>
    <row r="755">
      <c r="A755" s="19" t="n">
        <v>782</v>
      </c>
      <c r="B755" s="19" t="inlineStr">
        <is>
          <t>Dominical promediado adm La Alegria</t>
        </is>
      </c>
      <c r="C755" s="19" t="inlineStr">
        <is>
          <t>dia</t>
        </is>
      </c>
      <c r="E755" s="19" t="n">
        <v>782</v>
      </c>
    </row>
    <row r="756">
      <c r="A756" s="19" t="n">
        <v>783</v>
      </c>
      <c r="B756" s="19" t="inlineStr">
        <is>
          <t>Festivo promediado adm La Alegria</t>
        </is>
      </c>
      <c r="C756" s="19" t="inlineStr">
        <is>
          <t>dia</t>
        </is>
      </c>
      <c r="E756" s="19" t="n">
        <v>783</v>
      </c>
    </row>
    <row r="757">
      <c r="A757" s="19" t="n">
        <v>784</v>
      </c>
      <c r="B757" s="19" t="inlineStr">
        <is>
          <t>Saldo pendiente corte promedio</t>
        </is>
      </c>
      <c r="C757" s="19" t="inlineStr">
        <is>
          <t>unidad</t>
        </is>
      </c>
      <c r="E757" s="19" t="n">
        <v>784</v>
      </c>
    </row>
    <row r="758">
      <c r="A758" s="19" t="n">
        <v>785</v>
      </c>
      <c r="B758" s="19" t="inlineStr">
        <is>
          <t>Corte promedio rechazo al dia</t>
        </is>
      </c>
      <c r="C758" s="19" t="inlineStr">
        <is>
          <t>unidad</t>
        </is>
      </c>
      <c r="E758" s="19" t="n">
        <v>785</v>
      </c>
    </row>
    <row r="759">
      <c r="A759" s="19" t="n">
        <v>786</v>
      </c>
      <c r="B759" s="19" t="inlineStr">
        <is>
          <t>Banano para ganado</t>
        </is>
      </c>
      <c r="C759" s="19" t="inlineStr">
        <is>
          <t>hora</t>
        </is>
      </c>
      <c r="E759" s="19" t="n">
        <v>786</v>
      </c>
    </row>
    <row r="760">
      <c r="A760" s="19" t="n">
        <v>787</v>
      </c>
      <c r="B760" s="19" t="inlineStr">
        <is>
          <t>Botada de rechazo</t>
        </is>
      </c>
      <c r="C760" s="19" t="inlineStr">
        <is>
          <t>hora</t>
        </is>
      </c>
      <c r="E760" s="19" t="n">
        <v>787</v>
      </c>
    </row>
    <row r="761">
      <c r="A761" s="19" t="n">
        <v>788</v>
      </c>
      <c r="B761" s="19" t="inlineStr">
        <is>
          <t>Control de moko Maroma</t>
        </is>
      </c>
      <c r="C761" s="19" t="inlineStr">
        <is>
          <t>hora</t>
        </is>
      </c>
      <c r="E761" s="19" t="n">
        <v>788</v>
      </c>
    </row>
    <row r="762">
      <c r="A762" s="19" t="n">
        <v>789</v>
      </c>
      <c r="B762" s="19" t="inlineStr">
        <is>
          <t>Tractorista h.e.d.</t>
        </is>
      </c>
      <c r="C762" s="19" t="inlineStr">
        <is>
          <t>hora</t>
        </is>
      </c>
      <c r="E762" s="19" t="n">
        <v>789</v>
      </c>
    </row>
    <row r="763">
      <c r="A763" s="19" t="n">
        <v>790</v>
      </c>
      <c r="B763" s="19" t="inlineStr">
        <is>
          <t>Reubicacion de manguera</t>
        </is>
      </c>
      <c r="C763" s="19" t="inlineStr">
        <is>
          <t>hora</t>
        </is>
      </c>
      <c r="E763" s="19" t="n">
        <v>790</v>
      </c>
    </row>
    <row r="764">
      <c r="A764" s="19" t="n">
        <v>791</v>
      </c>
      <c r="B764" s="19" t="inlineStr">
        <is>
          <t>Desmane en campo</t>
        </is>
      </c>
      <c r="C764" s="19" t="inlineStr">
        <is>
          <t>hora</t>
        </is>
      </c>
      <c r="E764" s="19" t="n">
        <v>791</v>
      </c>
    </row>
    <row r="765">
      <c r="A765" s="19" t="n">
        <v>792</v>
      </c>
      <c r="B765" s="19" t="inlineStr">
        <is>
          <t>Bonificacion motor</t>
        </is>
      </c>
      <c r="C765" s="19" t="inlineStr">
        <is>
          <t>dia</t>
        </is>
      </c>
      <c r="E765" s="19" t="n">
        <v>792</v>
      </c>
    </row>
    <row r="766">
      <c r="A766" s="19" t="n">
        <v>793</v>
      </c>
      <c r="B766" s="19" t="inlineStr">
        <is>
          <t>Repase labor mala calidad parcela</t>
        </is>
      </c>
      <c r="C766" s="19" t="inlineStr">
        <is>
          <t>hora</t>
        </is>
      </c>
      <c r="E766" s="19" t="n">
        <v>793</v>
      </c>
    </row>
    <row r="767">
      <c r="A767" s="19" t="n">
        <v>794</v>
      </c>
      <c r="B767" s="19" t="inlineStr">
        <is>
          <t>Oficios varios El Habra</t>
        </is>
      </c>
      <c r="C767" s="19" t="inlineStr">
        <is>
          <t>hora</t>
        </is>
      </c>
      <c r="E767" s="19" t="n">
        <v>794</v>
      </c>
    </row>
    <row r="768">
      <c r="A768" s="19" t="n">
        <v>795</v>
      </c>
      <c r="B768" s="19" t="inlineStr">
        <is>
          <t>Oficios varios abra dominical</t>
        </is>
      </c>
      <c r="C768" s="19" t="inlineStr">
        <is>
          <t>hora</t>
        </is>
      </c>
      <c r="E768" s="19" t="n">
        <v>795</v>
      </c>
    </row>
    <row r="769">
      <c r="A769" s="19" t="n">
        <v>796</v>
      </c>
      <c r="B769" s="19" t="inlineStr">
        <is>
          <t>Oficios varios riviera</t>
        </is>
      </c>
      <c r="C769" s="19" t="inlineStr">
        <is>
          <t>hora</t>
        </is>
      </c>
      <c r="E769" s="19" t="n">
        <v>796</v>
      </c>
    </row>
    <row r="770">
      <c r="A770" s="19" t="n">
        <v>797</v>
      </c>
      <c r="B770" s="19" t="inlineStr">
        <is>
          <t>Oficios varios riviera dominical</t>
        </is>
      </c>
      <c r="C770" s="19" t="inlineStr">
        <is>
          <t>hora</t>
        </is>
      </c>
      <c r="E770" s="19" t="n">
        <v>797</v>
      </c>
    </row>
    <row r="771">
      <c r="A771" s="19" t="n">
        <v>798</v>
      </c>
      <c r="B771" s="19" t="inlineStr">
        <is>
          <t>Reciclaje de yumbolon</t>
        </is>
      </c>
      <c r="C771" s="19" t="inlineStr">
        <is>
          <t>hora</t>
        </is>
      </c>
      <c r="E771" s="19" t="n">
        <v>798</v>
      </c>
    </row>
    <row r="772">
      <c r="A772" s="19" t="n">
        <v>799</v>
      </c>
      <c r="B772" s="19" t="inlineStr">
        <is>
          <t>Motorista nocturno</t>
        </is>
      </c>
      <c r="C772" s="19" t="inlineStr">
        <is>
          <t>hora</t>
        </is>
      </c>
      <c r="E772" s="19" t="n">
        <v>799</v>
      </c>
    </row>
    <row r="773">
      <c r="A773" s="19" t="n">
        <v>800</v>
      </c>
      <c r="B773" s="19" t="inlineStr">
        <is>
          <t>Saldo pendiente incapacidad</t>
        </is>
      </c>
      <c r="C773" s="19" t="inlineStr">
        <is>
          <t>hora</t>
        </is>
      </c>
      <c r="E773" s="19" t="n">
        <v>800</v>
      </c>
    </row>
    <row r="774">
      <c r="A774" s="19" t="n">
        <v>801</v>
      </c>
      <c r="B774" s="19" t="inlineStr">
        <is>
          <t>Operador de motosierra dominical</t>
        </is>
      </c>
      <c r="C774" s="19" t="inlineStr">
        <is>
          <t>hora</t>
        </is>
      </c>
      <c r="E774" s="19" t="n">
        <v>801</v>
      </c>
    </row>
    <row r="775">
      <c r="A775" s="19" t="n">
        <v>802</v>
      </c>
      <c r="B775" s="19" t="inlineStr">
        <is>
          <t>Dominical promediado adm</t>
        </is>
      </c>
      <c r="C775" s="19" t="inlineStr">
        <is>
          <t>hora</t>
        </is>
      </c>
      <c r="E775" s="19" t="n">
        <v>802</v>
      </c>
    </row>
    <row r="776">
      <c r="A776" s="19" t="n">
        <v>803</v>
      </c>
      <c r="B776" s="19" t="inlineStr">
        <is>
          <t>Embolse y amarre cinta gris festivo</t>
        </is>
      </c>
      <c r="C776" s="19" t="inlineStr">
        <is>
          <t>unidad</t>
        </is>
      </c>
      <c r="E776" s="19" t="n">
        <v>803</v>
      </c>
    </row>
    <row r="777">
      <c r="A777" s="19" t="n">
        <v>804</v>
      </c>
      <c r="B777" s="19" t="inlineStr">
        <is>
          <t>Embolse y amarre cinta verde festivo</t>
        </is>
      </c>
      <c r="C777" s="19" t="inlineStr">
        <is>
          <t>unidad</t>
        </is>
      </c>
      <c r="E777" s="19" t="n">
        <v>804</v>
      </c>
    </row>
    <row r="778">
      <c r="A778" s="19" t="n">
        <v>805</v>
      </c>
      <c r="B778" s="19" t="inlineStr">
        <is>
          <t>Embolse y amarre cinta cafe festivo</t>
        </is>
      </c>
      <c r="C778" s="19" t="inlineStr">
        <is>
          <t>unidad</t>
        </is>
      </c>
      <c r="E778" s="19" t="n">
        <v>805</v>
      </c>
    </row>
    <row r="779">
      <c r="A779" s="19" t="n">
        <v>806</v>
      </c>
      <c r="B779" s="19" t="inlineStr">
        <is>
          <t>Embolse y amarre cinta azul festivo</t>
        </is>
      </c>
      <c r="C779" s="19" t="inlineStr">
        <is>
          <t>unidad</t>
        </is>
      </c>
      <c r="E779" s="19" t="n">
        <v>806</v>
      </c>
    </row>
    <row r="780">
      <c r="A780" s="19" t="n">
        <v>807</v>
      </c>
      <c r="B780" s="19" t="inlineStr">
        <is>
          <t>Embolse y amarre cinta blanca festivo</t>
        </is>
      </c>
      <c r="C780" s="19" t="inlineStr">
        <is>
          <t>unidad</t>
        </is>
      </c>
      <c r="E780" s="19" t="n">
        <v>807</v>
      </c>
    </row>
    <row r="781">
      <c r="A781" s="19" t="n">
        <v>808</v>
      </c>
      <c r="B781" s="19" t="inlineStr">
        <is>
          <t>Embolse y amarre cinta negra festivo</t>
        </is>
      </c>
      <c r="C781" s="19" t="inlineStr">
        <is>
          <t>unidad</t>
        </is>
      </c>
      <c r="E781" s="19" t="n">
        <v>808</v>
      </c>
    </row>
    <row r="782">
      <c r="A782" s="19" t="n">
        <v>809</v>
      </c>
      <c r="B782" s="19" t="inlineStr">
        <is>
          <t>Embolse y amarre cinta morada festivo</t>
        </is>
      </c>
      <c r="C782" s="19" t="inlineStr">
        <is>
          <t>unidad</t>
        </is>
      </c>
      <c r="E782" s="19" t="n">
        <v>809</v>
      </c>
    </row>
    <row r="783">
      <c r="A783" s="19" t="n">
        <v>810</v>
      </c>
      <c r="B783" s="19" t="inlineStr">
        <is>
          <t>Embolse y amarre cinta amarilla festivo</t>
        </is>
      </c>
      <c r="C783" s="19" t="inlineStr">
        <is>
          <t>unidad</t>
        </is>
      </c>
      <c r="E783" s="19" t="n">
        <v>810</v>
      </c>
    </row>
    <row r="784">
      <c r="A784" s="19" t="n">
        <v>811</v>
      </c>
      <c r="B784" s="19" t="inlineStr">
        <is>
          <t>Embolse y amarre cinta roja festivo</t>
        </is>
      </c>
      <c r="C784" s="19" t="inlineStr">
        <is>
          <t>unidad</t>
        </is>
      </c>
      <c r="E784" s="19" t="n">
        <v>811</v>
      </c>
    </row>
    <row r="785">
      <c r="A785" s="19" t="n">
        <v>812</v>
      </c>
      <c r="B785" s="19" t="inlineStr">
        <is>
          <t>Embolse y amarre cinta beige festivo</t>
        </is>
      </c>
      <c r="C785" s="19" t="inlineStr">
        <is>
          <t>unidad</t>
        </is>
      </c>
      <c r="E785" s="19" t="n">
        <v>812</v>
      </c>
    </row>
    <row r="786">
      <c r="A786" s="19" t="n">
        <v>813</v>
      </c>
      <c r="B786" s="19" t="inlineStr">
        <is>
          <t>Embolse y amarre cinta mecate festivo</t>
        </is>
      </c>
      <c r="C786" s="19" t="inlineStr">
        <is>
          <t>unidad</t>
        </is>
      </c>
      <c r="E786" s="19" t="n">
        <v>813</v>
      </c>
    </row>
    <row r="787">
      <c r="A787" s="19" t="n">
        <v>814</v>
      </c>
      <c r="B787" s="19" t="inlineStr">
        <is>
          <t>Corte al dia festivo</t>
        </is>
      </c>
      <c r="C787" s="19" t="inlineStr">
        <is>
          <t>hora</t>
        </is>
      </c>
      <c r="E787" s="19" t="n">
        <v>814</v>
      </c>
    </row>
    <row r="788">
      <c r="A788" s="19" t="n">
        <v>815</v>
      </c>
      <c r="B788" s="19" t="inlineStr">
        <is>
          <t>Corte promedio al dia festivo</t>
        </is>
      </c>
      <c r="C788" s="19" t="inlineStr">
        <is>
          <t>hora</t>
        </is>
      </c>
      <c r="E788" s="19" t="n">
        <v>815</v>
      </c>
    </row>
    <row r="789">
      <c r="A789" s="19" t="n">
        <v>816</v>
      </c>
      <c r="B789" s="19" t="inlineStr">
        <is>
          <t>Oficios varios abra festivo</t>
        </is>
      </c>
      <c r="C789" s="19" t="inlineStr">
        <is>
          <t>hora</t>
        </is>
      </c>
      <c r="E789" s="19" t="n">
        <v>816</v>
      </c>
    </row>
    <row r="790">
      <c r="A790" s="19" t="n">
        <v>817</v>
      </c>
      <c r="B790" s="19" t="inlineStr">
        <is>
          <t>Tractorista festivo</t>
        </is>
      </c>
      <c r="C790" s="19" t="inlineStr">
        <is>
          <t>hora</t>
        </is>
      </c>
      <c r="E790" s="19" t="n">
        <v>817</v>
      </c>
    </row>
    <row r="791">
      <c r="A791" s="19" t="n">
        <v>818</v>
      </c>
      <c r="B791" s="19" t="inlineStr">
        <is>
          <t>Mantenimiento de cerca palma festivo</t>
        </is>
      </c>
      <c r="C791" s="19" t="inlineStr">
        <is>
          <t>hora</t>
        </is>
      </c>
      <c r="E791" s="19" t="n">
        <v>818</v>
      </c>
    </row>
    <row r="792">
      <c r="A792" s="19" t="n">
        <v>819</v>
      </c>
      <c r="B792" s="19" t="inlineStr">
        <is>
          <t>Cargue de fruta mula dominical</t>
        </is>
      </c>
      <c r="C792" s="19" t="inlineStr">
        <is>
          <t>tonelada</t>
        </is>
      </c>
      <c r="E792" s="19" t="n">
        <v>819</v>
      </c>
    </row>
    <row r="793">
      <c r="A793" s="19" t="n">
        <v>820</v>
      </c>
      <c r="B793" s="19" t="inlineStr">
        <is>
          <t>Siembra de palma</t>
        </is>
      </c>
      <c r="C793" s="19" t="inlineStr">
        <is>
          <t>hora</t>
        </is>
      </c>
      <c r="E793" s="19" t="n">
        <v>820</v>
      </c>
    </row>
    <row r="794">
      <c r="A794" s="19" t="n">
        <v>821</v>
      </c>
      <c r="B794" s="19" t="inlineStr">
        <is>
          <t>Siembra de palma h.e.d.</t>
        </is>
      </c>
      <c r="C794" s="19" t="inlineStr">
        <is>
          <t>hora</t>
        </is>
      </c>
      <c r="E794" s="19" t="n">
        <v>821</v>
      </c>
    </row>
    <row r="795">
      <c r="A795" s="19" t="n">
        <v>822</v>
      </c>
      <c r="B795" s="19" t="inlineStr">
        <is>
          <t>Siembra de palma dominical</t>
        </is>
      </c>
      <c r="C795" s="19" t="inlineStr">
        <is>
          <t>hora</t>
        </is>
      </c>
      <c r="E795" s="19" t="n">
        <v>822</v>
      </c>
    </row>
    <row r="796">
      <c r="A796" s="19" t="n">
        <v>823</v>
      </c>
      <c r="B796" s="19" t="inlineStr">
        <is>
          <t>Festivo promediado adm</t>
        </is>
      </c>
      <c r="C796" s="19" t="inlineStr">
        <is>
          <t>hora</t>
        </is>
      </c>
      <c r="E796" s="19" t="n">
        <v>823</v>
      </c>
    </row>
    <row r="797">
      <c r="A797" s="19" t="n">
        <v>824</v>
      </c>
      <c r="B797" s="19" t="inlineStr">
        <is>
          <t>Oficios varios riviera festivo</t>
        </is>
      </c>
      <c r="C797" s="19" t="inlineStr">
        <is>
          <t>hora</t>
        </is>
      </c>
      <c r="E797" s="19" t="n">
        <v>824</v>
      </c>
    </row>
    <row r="798">
      <c r="A798" s="19" t="n">
        <v>825</v>
      </c>
      <c r="B798" s="19" t="inlineStr">
        <is>
          <t>Motorista nocturno h.e.n</t>
        </is>
      </c>
      <c r="C798" s="19" t="inlineStr">
        <is>
          <t>hora</t>
        </is>
      </c>
      <c r="E798" s="19" t="n">
        <v>825</v>
      </c>
    </row>
    <row r="799">
      <c r="A799" s="19" t="n">
        <v>826</v>
      </c>
      <c r="B799" s="19" t="inlineStr">
        <is>
          <t>Riego nocturno h.e.n.</t>
        </is>
      </c>
      <c r="C799" s="19" t="inlineStr">
        <is>
          <t>hora</t>
        </is>
      </c>
      <c r="E799" s="19" t="n">
        <v>826</v>
      </c>
    </row>
    <row r="800">
      <c r="A800" s="19" t="n">
        <v>827</v>
      </c>
      <c r="B800" s="19" t="inlineStr">
        <is>
          <t>Empaque de fruta por viento</t>
        </is>
      </c>
      <c r="C800" s="19" t="inlineStr">
        <is>
          <t>hora</t>
        </is>
      </c>
      <c r="E800" s="19" t="n">
        <v>827</v>
      </c>
    </row>
    <row r="801">
      <c r="A801" s="19" t="n">
        <v>828</v>
      </c>
      <c r="B801" s="19" t="inlineStr">
        <is>
          <t>Ayudante de albañil Maroma</t>
        </is>
      </c>
      <c r="C801" s="19" t="inlineStr">
        <is>
          <t>hora</t>
        </is>
      </c>
      <c r="E801" s="19" t="n">
        <v>828</v>
      </c>
    </row>
    <row r="802">
      <c r="A802" s="19" t="n">
        <v>829</v>
      </c>
      <c r="B802" s="19" t="inlineStr">
        <is>
          <t>Capacitacion en corte La Alegria</t>
        </is>
      </c>
      <c r="C802" s="19" t="inlineStr">
        <is>
          <t>hora</t>
        </is>
      </c>
      <c r="E802" s="19" t="n">
        <v>829</v>
      </c>
    </row>
    <row r="803">
      <c r="A803" s="19" t="n">
        <v>830</v>
      </c>
      <c r="B803" s="19" t="inlineStr">
        <is>
          <t>Lavada de envases</t>
        </is>
      </c>
      <c r="C803" s="19" t="inlineStr">
        <is>
          <t>hora</t>
        </is>
      </c>
      <c r="E803" s="19" t="n">
        <v>830</v>
      </c>
    </row>
    <row r="804">
      <c r="A804" s="19" t="n">
        <v>831</v>
      </c>
      <c r="B804" s="19" t="inlineStr">
        <is>
          <t>Llenada de rechazo dominical</t>
        </is>
      </c>
      <c r="C804" s="19" t="inlineStr">
        <is>
          <t>hora</t>
        </is>
      </c>
      <c r="E804" s="19" t="n">
        <v>831</v>
      </c>
    </row>
    <row r="805">
      <c r="A805" s="19" t="n">
        <v>832</v>
      </c>
      <c r="B805" s="19" t="inlineStr">
        <is>
          <t>Auxilio de alimentacion Maria Laura</t>
        </is>
      </c>
      <c r="C805" s="19" t="inlineStr">
        <is>
          <t>dia</t>
        </is>
      </c>
      <c r="E805" s="19" t="n">
        <v>832</v>
      </c>
    </row>
    <row r="806">
      <c r="A806" s="19" t="n">
        <v>833</v>
      </c>
      <c r="B806" s="19" t="inlineStr">
        <is>
          <t>Dominical promediado adm Maria Laura</t>
        </is>
      </c>
      <c r="C806" s="19" t="inlineStr">
        <is>
          <t>dia</t>
        </is>
      </c>
      <c r="E806" s="19" t="n">
        <v>833</v>
      </c>
    </row>
    <row r="807">
      <c r="A807" s="19" t="n">
        <v>834</v>
      </c>
      <c r="B807" s="19" t="inlineStr">
        <is>
          <t>Festivo promediado adm Maria Laura</t>
        </is>
      </c>
      <c r="C807" s="19" t="inlineStr">
        <is>
          <t>dia</t>
        </is>
      </c>
      <c r="E807" s="19" t="n">
        <v>834</v>
      </c>
    </row>
    <row r="808">
      <c r="A808" s="19" t="n">
        <v>835</v>
      </c>
      <c r="B808" s="19" t="inlineStr">
        <is>
          <t>Regada de relleno</t>
        </is>
      </c>
      <c r="C808" s="19" t="inlineStr">
        <is>
          <t>hora</t>
        </is>
      </c>
      <c r="E808" s="19" t="n">
        <v>835</v>
      </c>
    </row>
    <row r="809">
      <c r="A809" s="19" t="n">
        <v>836</v>
      </c>
      <c r="B809" s="19" t="inlineStr">
        <is>
          <t>Cargue vivero mula palma</t>
        </is>
      </c>
      <c r="C809" s="19" t="inlineStr">
        <is>
          <t>hora</t>
        </is>
      </c>
      <c r="E809" s="19" t="n">
        <v>836</v>
      </c>
    </row>
    <row r="810">
      <c r="A810" s="19" t="n">
        <v>837</v>
      </c>
      <c r="B810" s="19" t="inlineStr">
        <is>
          <t>Cargue de tuberia Don Gaspar</t>
        </is>
      </c>
      <c r="C810" s="19" t="inlineStr">
        <is>
          <t>hora</t>
        </is>
      </c>
      <c r="E810" s="19" t="n">
        <v>837</v>
      </c>
    </row>
    <row r="811">
      <c r="A811" s="19" t="n">
        <v>838</v>
      </c>
      <c r="B811" s="19" t="inlineStr">
        <is>
          <t>Cargue de tuberia h.e.d. Don Gaspar</t>
        </is>
      </c>
      <c r="C811" s="19" t="inlineStr">
        <is>
          <t>hora</t>
        </is>
      </c>
      <c r="E811" s="19" t="n">
        <v>838</v>
      </c>
    </row>
    <row r="812">
      <c r="A812" s="19" t="n">
        <v>839</v>
      </c>
      <c r="B812" s="19" t="inlineStr">
        <is>
          <t>Pintura Don Gaspar</t>
        </is>
      </c>
      <c r="C812" s="19" t="inlineStr">
        <is>
          <t>hora</t>
        </is>
      </c>
      <c r="E812" s="19" t="n">
        <v>839</v>
      </c>
    </row>
    <row r="813">
      <c r="A813" s="19" t="n">
        <v>840</v>
      </c>
      <c r="B813" s="19" t="inlineStr">
        <is>
          <t>Pintura h.e.d. Don Gaspar</t>
        </is>
      </c>
      <c r="C813" s="19" t="inlineStr">
        <is>
          <t>hora</t>
        </is>
      </c>
      <c r="E813" s="19" t="n">
        <v>840</v>
      </c>
    </row>
    <row r="814">
      <c r="A814" s="19" t="n">
        <v>841</v>
      </c>
      <c r="B814" s="19" t="inlineStr">
        <is>
          <t>Control de poblacion festivo</t>
        </is>
      </c>
      <c r="C814" s="19" t="inlineStr">
        <is>
          <t>hora</t>
        </is>
      </c>
      <c r="E814" s="19" t="n">
        <v>841</v>
      </c>
    </row>
    <row r="815">
      <c r="A815" s="19" t="n">
        <v>842</v>
      </c>
      <c r="B815" s="19" t="inlineStr">
        <is>
          <t>Desbejuque al dia festivo</t>
        </is>
      </c>
      <c r="C815" s="19" t="inlineStr">
        <is>
          <t>hora</t>
        </is>
      </c>
      <c r="E815" s="19" t="n">
        <v>842</v>
      </c>
    </row>
    <row r="816">
      <c r="A816" s="19" t="n">
        <v>843</v>
      </c>
      <c r="B816" s="19" t="inlineStr">
        <is>
          <t>Bajada de manguera</t>
        </is>
      </c>
      <c r="C816" s="19" t="inlineStr">
        <is>
          <t>hora</t>
        </is>
      </c>
      <c r="E816" s="19" t="n">
        <v>843</v>
      </c>
    </row>
    <row r="817">
      <c r="A817" s="19" t="n">
        <v>844</v>
      </c>
      <c r="B817" s="19" t="inlineStr">
        <is>
          <t>Yumbolon cinta gris festivo</t>
        </is>
      </c>
      <c r="C817" s="19" t="inlineStr">
        <is>
          <t>unidad</t>
        </is>
      </c>
      <c r="E817" s="19" t="n">
        <v>844</v>
      </c>
    </row>
    <row r="818">
      <c r="A818" s="19" t="n">
        <v>845</v>
      </c>
      <c r="B818" s="19" t="inlineStr">
        <is>
          <t>Yumbolon cinta verde festivo</t>
        </is>
      </c>
      <c r="C818" s="19" t="inlineStr">
        <is>
          <t>unidad</t>
        </is>
      </c>
      <c r="E818" s="19" t="n">
        <v>845</v>
      </c>
    </row>
    <row r="819">
      <c r="A819" s="19" t="n">
        <v>846</v>
      </c>
      <c r="B819" s="19" t="inlineStr">
        <is>
          <t>Yumbolon cinta cafe festivo</t>
        </is>
      </c>
      <c r="C819" s="19" t="inlineStr">
        <is>
          <t>unidad</t>
        </is>
      </c>
      <c r="E819" s="19" t="n">
        <v>846</v>
      </c>
    </row>
    <row r="820">
      <c r="A820" s="19" t="n">
        <v>847</v>
      </c>
      <c r="B820" s="19" t="inlineStr">
        <is>
          <t>Yumbolon cinta azul festivo</t>
        </is>
      </c>
      <c r="C820" s="19" t="inlineStr">
        <is>
          <t>unidad</t>
        </is>
      </c>
      <c r="E820" s="19" t="n">
        <v>847</v>
      </c>
    </row>
    <row r="821">
      <c r="A821" s="19" t="n">
        <v>848</v>
      </c>
      <c r="B821" s="19" t="inlineStr">
        <is>
          <t>Yumbolon cinta blanca festivo</t>
        </is>
      </c>
      <c r="C821" s="19" t="inlineStr">
        <is>
          <t>unidad</t>
        </is>
      </c>
      <c r="E821" s="19" t="n">
        <v>848</v>
      </c>
    </row>
    <row r="822">
      <c r="A822" s="19" t="n">
        <v>849</v>
      </c>
      <c r="B822" s="19" t="inlineStr">
        <is>
          <t>Yumbolon cinta negra festivo</t>
        </is>
      </c>
      <c r="C822" s="19" t="inlineStr">
        <is>
          <t>unidad</t>
        </is>
      </c>
      <c r="E822" s="19" t="n">
        <v>849</v>
      </c>
    </row>
    <row r="823">
      <c r="A823" s="19" t="n">
        <v>850</v>
      </c>
      <c r="B823" s="19" t="inlineStr">
        <is>
          <t>Yumbolon cinta morada festivo</t>
        </is>
      </c>
      <c r="C823" s="19" t="inlineStr">
        <is>
          <t>unidad</t>
        </is>
      </c>
      <c r="E823" s="19" t="n">
        <v>850</v>
      </c>
    </row>
    <row r="824">
      <c r="A824" s="19" t="n">
        <v>851</v>
      </c>
      <c r="B824" s="19" t="inlineStr">
        <is>
          <t>Yumbolon cinta amarilla festivo</t>
        </is>
      </c>
      <c r="C824" s="19" t="inlineStr">
        <is>
          <t>unidad</t>
        </is>
      </c>
      <c r="E824" s="19" t="n">
        <v>851</v>
      </c>
    </row>
    <row r="825">
      <c r="A825" s="19" t="n">
        <v>852</v>
      </c>
      <c r="B825" s="19" t="inlineStr">
        <is>
          <t>Yumbolon cinta roja festivo</t>
        </is>
      </c>
      <c r="C825" s="19" t="inlineStr">
        <is>
          <t>unidad</t>
        </is>
      </c>
      <c r="E825" s="19" t="n">
        <v>852</v>
      </c>
    </row>
    <row r="826">
      <c r="A826" s="19" t="n">
        <v>853</v>
      </c>
      <c r="B826" s="19" t="inlineStr">
        <is>
          <t>Yumbolon cinta beige festivo</t>
        </is>
      </c>
      <c r="C826" s="19" t="inlineStr">
        <is>
          <t>unidad</t>
        </is>
      </c>
      <c r="E826" s="19" t="n">
        <v>853</v>
      </c>
    </row>
    <row r="827">
      <c r="A827" s="19" t="n">
        <v>854</v>
      </c>
      <c r="B827" s="19" t="inlineStr">
        <is>
          <t>Yumbolon cinta mecate festivo</t>
        </is>
      </c>
      <c r="C827" s="19" t="inlineStr">
        <is>
          <t>unidad</t>
        </is>
      </c>
      <c r="E827" s="19" t="n">
        <v>854</v>
      </c>
    </row>
    <row r="828">
      <c r="A828" s="19" t="n">
        <v>855</v>
      </c>
      <c r="B828" s="19" t="inlineStr">
        <is>
          <t>Mantenimiento de cerca festivo</t>
        </is>
      </c>
      <c r="C828" s="19" t="inlineStr">
        <is>
          <t>hora</t>
        </is>
      </c>
      <c r="E828" s="19" t="n">
        <v>855</v>
      </c>
    </row>
    <row r="829">
      <c r="A829" s="19" t="n">
        <v>856</v>
      </c>
      <c r="B829" s="19" t="inlineStr">
        <is>
          <t>Chapia de canal secundario festivo</t>
        </is>
      </c>
      <c r="C829" s="19" t="inlineStr">
        <is>
          <t>metro</t>
        </is>
      </c>
      <c r="E829" s="19" t="n">
        <v>856</v>
      </c>
    </row>
    <row r="830">
      <c r="A830" s="19" t="n">
        <v>857</v>
      </c>
      <c r="B830" s="19" t="inlineStr">
        <is>
          <t>Arranque de pajon festivo</t>
        </is>
      </c>
      <c r="C830" s="19" t="inlineStr">
        <is>
          <t>hora</t>
        </is>
      </c>
      <c r="E830" s="19" t="n">
        <v>857</v>
      </c>
    </row>
    <row r="831">
      <c r="A831" s="19" t="n">
        <v>858</v>
      </c>
      <c r="B831" s="19" t="inlineStr">
        <is>
          <t>Pintura festivo</t>
        </is>
      </c>
      <c r="C831" s="19" t="inlineStr">
        <is>
          <t>hora</t>
        </is>
      </c>
      <c r="E831" s="19" t="n">
        <v>858</v>
      </c>
    </row>
    <row r="832">
      <c r="A832" s="19" t="n">
        <v>859</v>
      </c>
      <c r="B832" s="19" t="inlineStr">
        <is>
          <t>Regada de tierra festivo</t>
        </is>
      </c>
      <c r="C832" s="19" t="inlineStr">
        <is>
          <t>hora</t>
        </is>
      </c>
      <c r="E832" s="19" t="n">
        <v>859</v>
      </c>
    </row>
    <row r="833">
      <c r="A833" s="19" t="n">
        <v>860</v>
      </c>
      <c r="B833" s="19" t="inlineStr">
        <is>
          <t>Enderezada de matas</t>
        </is>
      </c>
      <c r="C833" s="19" t="inlineStr">
        <is>
          <t>hora</t>
        </is>
      </c>
      <c r="E833" s="19" t="n">
        <v>860</v>
      </c>
    </row>
    <row r="834">
      <c r="A834" s="19" t="n">
        <v>861</v>
      </c>
      <c r="B834" s="19" t="inlineStr">
        <is>
          <t>Mantenimiento de gondula dominical</t>
        </is>
      </c>
      <c r="C834" s="19" t="inlineStr">
        <is>
          <t>hora</t>
        </is>
      </c>
      <c r="E834" s="19" t="n">
        <v>861</v>
      </c>
    </row>
    <row r="835">
      <c r="A835" s="19" t="n">
        <v>862</v>
      </c>
      <c r="B835" s="19" t="inlineStr">
        <is>
          <t>Cosecha palma festivo</t>
        </is>
      </c>
      <c r="C835" s="19" t="inlineStr">
        <is>
          <t>tonelada</t>
        </is>
      </c>
      <c r="E835" s="19" t="n">
        <v>862</v>
      </c>
    </row>
    <row r="836">
      <c r="A836" s="19" t="n">
        <v>863</v>
      </c>
      <c r="B836" s="19" t="inlineStr">
        <is>
          <t>Recogida en acopio festivo</t>
        </is>
      </c>
      <c r="C836" s="19" t="inlineStr">
        <is>
          <t>tonelada</t>
        </is>
      </c>
      <c r="E836" s="19" t="n">
        <v>863</v>
      </c>
    </row>
    <row r="837">
      <c r="A837" s="19" t="n">
        <v>864</v>
      </c>
      <c r="B837" s="19" t="inlineStr">
        <is>
          <t>Parcela al dia Maria Laura</t>
        </is>
      </c>
      <c r="C837" s="19" t="inlineStr">
        <is>
          <t>hora</t>
        </is>
      </c>
      <c r="E837" s="19" t="n">
        <v>864</v>
      </c>
    </row>
    <row r="838">
      <c r="A838" s="19" t="n">
        <v>865</v>
      </c>
      <c r="B838" s="19" t="inlineStr">
        <is>
          <t>Aplicacion de herbicida Maria Laura</t>
        </is>
      </c>
      <c r="C838" s="19" t="inlineStr">
        <is>
          <t>hectarea</t>
        </is>
      </c>
      <c r="E838" s="19" t="n">
        <v>865</v>
      </c>
    </row>
    <row r="839">
      <c r="A839" s="19" t="n">
        <v>866</v>
      </c>
      <c r="B839" s="19" t="inlineStr">
        <is>
          <t>Deshoje Maria Laura</t>
        </is>
      </c>
      <c r="C839" s="19" t="inlineStr">
        <is>
          <t>hectarea</t>
        </is>
      </c>
      <c r="E839" s="19" t="n">
        <v>866</v>
      </c>
    </row>
    <row r="840">
      <c r="A840" s="19" t="n">
        <v>867</v>
      </c>
      <c r="B840" s="19" t="inlineStr">
        <is>
          <t>Control de maleza al dia Maria Laura</t>
        </is>
      </c>
      <c r="C840" s="19" t="inlineStr">
        <is>
          <t>hora</t>
        </is>
      </c>
      <c r="E840" s="19" t="n">
        <v>867</v>
      </c>
    </row>
    <row r="841">
      <c r="A841" s="19" t="n">
        <v>868</v>
      </c>
      <c r="B841" s="19" t="inlineStr">
        <is>
          <t>Chapia de canal secundario Maria Laura</t>
        </is>
      </c>
      <c r="C841" s="19" t="inlineStr">
        <is>
          <t>metro</t>
        </is>
      </c>
      <c r="E841" s="19" t="n">
        <v>868</v>
      </c>
    </row>
    <row r="842">
      <c r="A842" s="19" t="n">
        <v>869</v>
      </c>
      <c r="B842" s="19" t="inlineStr">
        <is>
          <t>Aplicacion de herbicida al dia Maria Laura</t>
        </is>
      </c>
      <c r="C842" s="19" t="inlineStr">
        <is>
          <t>hectarea</t>
        </is>
      </c>
      <c r="E842" s="19" t="n">
        <v>869</v>
      </c>
    </row>
    <row r="843">
      <c r="A843" s="19" t="n">
        <v>870</v>
      </c>
      <c r="B843" s="19" t="inlineStr">
        <is>
          <t>Control de maleza manual</t>
        </is>
      </c>
      <c r="C843" s="19" t="inlineStr">
        <is>
          <t>hora</t>
        </is>
      </c>
      <c r="E843" s="19" t="n">
        <v>870</v>
      </c>
    </row>
    <row r="844">
      <c r="A844" s="19" t="n">
        <v>871</v>
      </c>
      <c r="B844" s="19" t="inlineStr">
        <is>
          <t>Saldo pendiente auxiliar de empacadora</t>
        </is>
      </c>
      <c r="C844" s="19" t="inlineStr">
        <is>
          <t>hora</t>
        </is>
      </c>
      <c r="E844" s="19" t="n">
        <v>871</v>
      </c>
    </row>
    <row r="845">
      <c r="A845" s="19" t="n">
        <v>872</v>
      </c>
      <c r="B845" s="19" t="inlineStr">
        <is>
          <t>Desmache con macana Maroma</t>
        </is>
      </c>
      <c r="C845" s="19" t="inlineStr">
        <is>
          <t>hectarea</t>
        </is>
      </c>
      <c r="E845" s="19" t="n">
        <v>872</v>
      </c>
    </row>
    <row r="846">
      <c r="A846" s="19" t="n">
        <v>873</v>
      </c>
      <c r="B846" s="19" t="inlineStr">
        <is>
          <t>Saldo pendiente embolse y amarre cinta morada</t>
        </is>
      </c>
      <c r="C846" s="19" t="inlineStr">
        <is>
          <t>unidad</t>
        </is>
      </c>
      <c r="E846" s="19" t="n">
        <v>873</v>
      </c>
    </row>
    <row r="847">
      <c r="A847" s="19" t="n">
        <v>874</v>
      </c>
      <c r="B847" s="19" t="inlineStr">
        <is>
          <t>Embolse y amarre al dia</t>
        </is>
      </c>
      <c r="C847" s="19" t="inlineStr">
        <is>
          <t>hora</t>
        </is>
      </c>
      <c r="E847" s="19" t="n">
        <v>874</v>
      </c>
    </row>
    <row r="848">
      <c r="A848" s="19" t="n">
        <v>875</v>
      </c>
      <c r="B848" s="19" t="inlineStr">
        <is>
          <t>Desmache al dia Maroma</t>
        </is>
      </c>
      <c r="C848" s="19" t="inlineStr">
        <is>
          <t>hora</t>
        </is>
      </c>
      <c r="E848" s="19" t="n">
        <v>875</v>
      </c>
    </row>
    <row r="849">
      <c r="A849" s="19" t="n">
        <v>876</v>
      </c>
      <c r="B849" s="19" t="inlineStr">
        <is>
          <t>Saldo pendiente resiembras</t>
        </is>
      </c>
      <c r="C849" s="19" t="inlineStr">
        <is>
          <t>hora</t>
        </is>
      </c>
      <c r="E849" s="19" t="n">
        <v>876</v>
      </c>
    </row>
    <row r="850">
      <c r="A850" s="19" t="n">
        <v>877</v>
      </c>
      <c r="B850" s="19" t="inlineStr">
        <is>
          <t>Aprendiz sena lectivo administracion</t>
        </is>
      </c>
      <c r="C850" s="19" t="inlineStr">
        <is>
          <t>dia</t>
        </is>
      </c>
      <c r="E850" s="19" t="n">
        <v>877</v>
      </c>
    </row>
    <row r="851">
      <c r="A851" s="19" t="n">
        <v>878</v>
      </c>
      <c r="B851" s="19" t="inlineStr">
        <is>
          <t>Siembra de palma festivo</t>
        </is>
      </c>
      <c r="C851" s="19" t="inlineStr">
        <is>
          <t>hora</t>
        </is>
      </c>
      <c r="E851" s="19" t="n">
        <v>878</v>
      </c>
    </row>
    <row r="852">
      <c r="A852" s="19" t="n">
        <v>879</v>
      </c>
      <c r="B852" s="19" t="inlineStr">
        <is>
          <t>Operador de motosierra festivo</t>
        </is>
      </c>
      <c r="C852" s="19" t="inlineStr">
        <is>
          <t>hora</t>
        </is>
      </c>
      <c r="E852" s="19" t="n">
        <v>879</v>
      </c>
    </row>
    <row r="853">
      <c r="A853" s="19" t="n">
        <v>880</v>
      </c>
      <c r="B853" s="19" t="inlineStr">
        <is>
          <t>Cargue vivero palma</t>
        </is>
      </c>
      <c r="C853" s="19" t="inlineStr">
        <is>
          <t>hora</t>
        </is>
      </c>
      <c r="E853" s="19" t="n">
        <v>880</v>
      </c>
    </row>
    <row r="854">
      <c r="A854" s="19" t="n">
        <v>881</v>
      </c>
      <c r="B854" s="19" t="inlineStr">
        <is>
          <t>Operador de motosierra h.e.d.</t>
        </is>
      </c>
      <c r="C854" s="19" t="inlineStr">
        <is>
          <t>hora</t>
        </is>
      </c>
      <c r="E854" s="19" t="n">
        <v>881</v>
      </c>
    </row>
    <row r="855">
      <c r="A855" s="19" t="n">
        <v>882</v>
      </c>
      <c r="B855" s="19" t="inlineStr">
        <is>
          <t>Conductor tractomula festivo</t>
        </is>
      </c>
      <c r="C855" s="19" t="inlineStr">
        <is>
          <t>jornal</t>
        </is>
      </c>
      <c r="E855" s="19" t="n">
        <v>882</v>
      </c>
    </row>
    <row r="856">
      <c r="A856" s="19" t="n">
        <v>883</v>
      </c>
      <c r="B856" s="19" t="inlineStr">
        <is>
          <t>Guategrado</t>
        </is>
      </c>
      <c r="C856" s="19" t="inlineStr">
        <is>
          <t>hora</t>
        </is>
      </c>
      <c r="E856" s="19" t="n">
        <v>883</v>
      </c>
    </row>
    <row r="857">
      <c r="A857" s="19" t="n">
        <v>884</v>
      </c>
      <c r="B857" s="19" t="inlineStr">
        <is>
          <t>Reenvase de acidos</t>
        </is>
      </c>
      <c r="C857" s="19" t="inlineStr">
        <is>
          <t>hora</t>
        </is>
      </c>
      <c r="E857" s="19" t="n">
        <v>884</v>
      </c>
    </row>
    <row r="858">
      <c r="A858" s="19" t="n">
        <v>885</v>
      </c>
      <c r="B858" s="19" t="inlineStr">
        <is>
          <t>Recuperacion de troncon</t>
        </is>
      </c>
      <c r="C858" s="19" t="inlineStr">
        <is>
          <t>hora</t>
        </is>
      </c>
      <c r="E858" s="19" t="n">
        <v>885</v>
      </c>
    </row>
    <row r="859">
      <c r="A859" s="19" t="n">
        <v>886</v>
      </c>
      <c r="B859" s="19" t="inlineStr">
        <is>
          <t>Sacada de alterones</t>
        </is>
      </c>
      <c r="C859" s="19" t="inlineStr">
        <is>
          <t>hora</t>
        </is>
      </c>
      <c r="E859" s="19" t="n">
        <v>886</v>
      </c>
    </row>
    <row r="860">
      <c r="A860" s="19" t="n">
        <v>887</v>
      </c>
      <c r="B860" s="19" t="inlineStr">
        <is>
          <t>Arreglo de divisiones</t>
        </is>
      </c>
      <c r="C860" s="19" t="inlineStr">
        <is>
          <t>hora</t>
        </is>
      </c>
      <c r="E860" s="19" t="n">
        <v>887</v>
      </c>
    </row>
    <row r="861">
      <c r="A861" s="19" t="n">
        <v>888</v>
      </c>
      <c r="B861" s="19" t="inlineStr">
        <is>
          <t>Dominical promediado mantenimientos adm</t>
        </is>
      </c>
      <c r="C861" s="19" t="inlineStr">
        <is>
          <t>hora</t>
        </is>
      </c>
      <c r="E861" s="19" t="n">
        <v>888</v>
      </c>
    </row>
    <row r="862">
      <c r="A862" s="19" t="n">
        <v>889</v>
      </c>
      <c r="B862" s="19" t="inlineStr">
        <is>
          <t>Festivo promediado mantenimientos adm</t>
        </is>
      </c>
      <c r="C862" s="19" t="inlineStr">
        <is>
          <t>hora</t>
        </is>
      </c>
      <c r="E862" s="19" t="n">
        <v>889</v>
      </c>
    </row>
    <row r="863">
      <c r="A863" s="19" t="n">
        <v>890</v>
      </c>
      <c r="B863" s="19" t="inlineStr">
        <is>
          <t>Auxilio de transporte mantenimientos adm</t>
        </is>
      </c>
      <c r="C863" s="19" t="inlineStr">
        <is>
          <t>dia</t>
        </is>
      </c>
      <c r="E863" s="19" t="n">
        <v>890</v>
      </c>
    </row>
    <row r="864">
      <c r="A864" s="19" t="n">
        <v>891</v>
      </c>
      <c r="B864" s="19" t="inlineStr">
        <is>
          <t>Mantenimiento de riego adm Don Gaspar</t>
        </is>
      </c>
      <c r="C864" s="19" t="inlineStr">
        <is>
          <t>hora</t>
        </is>
      </c>
      <c r="E864" s="19" t="n">
        <v>891</v>
      </c>
    </row>
    <row r="865">
      <c r="A865" s="19" t="n">
        <v>892</v>
      </c>
      <c r="B865" s="19" t="inlineStr">
        <is>
          <t>Mantenimiento de riego adm La Alegria</t>
        </is>
      </c>
      <c r="C865" s="19" t="inlineStr">
        <is>
          <t>hora</t>
        </is>
      </c>
      <c r="E865" s="19" t="n">
        <v>892</v>
      </c>
    </row>
    <row r="866">
      <c r="A866" s="19" t="n">
        <v>893</v>
      </c>
      <c r="B866" s="19" t="inlineStr">
        <is>
          <t>Mantenimiento de riego adm Maroma</t>
        </is>
      </c>
      <c r="C866" s="19" t="inlineStr">
        <is>
          <t>hora</t>
        </is>
      </c>
      <c r="E866" s="19" t="n">
        <v>893</v>
      </c>
    </row>
    <row r="867">
      <c r="A867" s="19" t="n">
        <v>894</v>
      </c>
      <c r="B867" s="19" t="inlineStr">
        <is>
          <t>Mantenimiento de riego adm Maria Laura</t>
        </is>
      </c>
      <c r="C867" s="19" t="inlineStr">
        <is>
          <t>hora</t>
        </is>
      </c>
      <c r="E867" s="19" t="n">
        <v>894</v>
      </c>
    </row>
    <row r="868">
      <c r="A868" s="19" t="n">
        <v>895</v>
      </c>
      <c r="B868" s="19" t="inlineStr">
        <is>
          <t>Mantenimiento de riego adm El Refugio</t>
        </is>
      </c>
      <c r="C868" s="19" t="inlineStr">
        <is>
          <t>hora</t>
        </is>
      </c>
      <c r="E868" s="19" t="n">
        <v>895</v>
      </c>
    </row>
    <row r="869">
      <c r="A869" s="19" t="n">
        <v>896</v>
      </c>
      <c r="B869" s="19" t="inlineStr">
        <is>
          <t>Surtir vivero</t>
        </is>
      </c>
      <c r="C869" s="19" t="inlineStr">
        <is>
          <t>hora</t>
        </is>
      </c>
      <c r="E869" s="19" t="n">
        <v>896</v>
      </c>
    </row>
    <row r="870">
      <c r="A870" s="19" t="n">
        <v>897</v>
      </c>
      <c r="B870" s="19" t="inlineStr">
        <is>
          <t>Desmache al dia La Alegria</t>
        </is>
      </c>
      <c r="C870" s="19" t="inlineStr">
        <is>
          <t>hora</t>
        </is>
      </c>
      <c r="E870" s="19" t="n">
        <v>897</v>
      </c>
    </row>
    <row r="871">
      <c r="A871" s="19" t="n">
        <v>898</v>
      </c>
      <c r="B871" s="19" t="inlineStr">
        <is>
          <t>Busqueda de mapaitero</t>
        </is>
      </c>
      <c r="C871" s="19" t="inlineStr">
        <is>
          <t>hora</t>
        </is>
      </c>
      <c r="E871" s="19" t="n">
        <v>898</v>
      </c>
    </row>
    <row r="872">
      <c r="A872" s="19" t="n">
        <v>899</v>
      </c>
      <c r="B872" s="19" t="inlineStr">
        <is>
          <t>Limpia con guadaña El Habra al dia</t>
        </is>
      </c>
      <c r="C872" s="19" t="inlineStr">
        <is>
          <t>hora</t>
        </is>
      </c>
      <c r="E872" s="19" t="n">
        <v>899</v>
      </c>
    </row>
    <row r="873">
      <c r="A873" s="19" t="n">
        <v>900</v>
      </c>
      <c r="B873" s="19" t="inlineStr">
        <is>
          <t>Embolse y amarre</t>
        </is>
      </c>
      <c r="C873" s="19" t="inlineStr">
        <is>
          <t>hectarea</t>
        </is>
      </c>
      <c r="E873" s="19" t="n">
        <v>900</v>
      </c>
    </row>
    <row r="874">
      <c r="A874" s="19" t="n">
        <v>901</v>
      </c>
      <c r="B874" s="19" t="inlineStr">
        <is>
          <t>Corte empacadora movil al dia</t>
        </is>
      </c>
      <c r="C874" s="19" t="inlineStr">
        <is>
          <t>jornal</t>
        </is>
      </c>
      <c r="E874" s="19" t="n">
        <v>901</v>
      </c>
    </row>
    <row r="875">
      <c r="A875" s="19" t="n">
        <v>902</v>
      </c>
      <c r="B875" s="19" t="inlineStr">
        <is>
          <t>Corte empacadora movil al dia festivo</t>
        </is>
      </c>
      <c r="C875" s="19" t="inlineStr">
        <is>
          <t>jornal</t>
        </is>
      </c>
      <c r="E875" s="19" t="n">
        <v>902</v>
      </c>
    </row>
    <row r="876">
      <c r="A876" s="19" t="n">
        <v>903</v>
      </c>
      <c r="B876" s="19" t="inlineStr">
        <is>
          <t>Corte promedio empacadora movil</t>
        </is>
      </c>
      <c r="C876" s="19" t="inlineStr">
        <is>
          <t>jornal</t>
        </is>
      </c>
      <c r="E876" s="19" t="n">
        <v>903</v>
      </c>
    </row>
    <row r="877">
      <c r="A877" s="19" t="n">
        <v>904</v>
      </c>
      <c r="B877" s="19" t="inlineStr">
        <is>
          <t>Corte promedio empacadora movil festivo</t>
        </is>
      </c>
      <c r="C877" s="19" t="inlineStr">
        <is>
          <t>jornal</t>
        </is>
      </c>
      <c r="E877" s="19" t="n">
        <v>904</v>
      </c>
    </row>
    <row r="878">
      <c r="A878" s="19" t="n">
        <v>905</v>
      </c>
      <c r="B878" s="19" t="inlineStr">
        <is>
          <t>Aseo de empacadora movil</t>
        </is>
      </c>
      <c r="C878" s="19" t="inlineStr">
        <is>
          <t>hora</t>
        </is>
      </c>
      <c r="E878" s="19" t="n">
        <v>905</v>
      </c>
    </row>
    <row r="879">
      <c r="A879" s="19" t="n">
        <v>906</v>
      </c>
      <c r="B879" s="19" t="inlineStr">
        <is>
          <t>Traslado empacadora movil</t>
        </is>
      </c>
      <c r="C879" s="19" t="inlineStr">
        <is>
          <t>hora</t>
        </is>
      </c>
      <c r="E879" s="19" t="n">
        <v>906</v>
      </c>
    </row>
    <row r="880">
      <c r="A880" s="19" t="n">
        <v>907</v>
      </c>
      <c r="B880" s="19" t="inlineStr">
        <is>
          <t>Dominical promediado aprendiz finca</t>
        </is>
      </c>
      <c r="C880" s="19" t="inlineStr">
        <is>
          <t>hora</t>
        </is>
      </c>
      <c r="E880" s="19" t="n">
        <v>907</v>
      </c>
    </row>
    <row r="881">
      <c r="A881" s="19" t="n">
        <v>908</v>
      </c>
      <c r="B881" s="19" t="inlineStr">
        <is>
          <t>Festivo promediado aprendiz finca</t>
        </is>
      </c>
      <c r="C881" s="19" t="inlineStr">
        <is>
          <t>hora</t>
        </is>
      </c>
      <c r="E881" s="19" t="n">
        <v>908</v>
      </c>
    </row>
    <row r="882">
      <c r="A882" s="19" t="n">
        <v>909</v>
      </c>
      <c r="B882" s="19" t="inlineStr">
        <is>
          <t>Levantamiento de troncones</t>
        </is>
      </c>
      <c r="C882" s="19" t="inlineStr">
        <is>
          <t>hora</t>
        </is>
      </c>
      <c r="E882" s="19" t="n">
        <v>909</v>
      </c>
    </row>
    <row r="883">
      <c r="A883" s="19" t="n">
        <v>911</v>
      </c>
      <c r="B883" s="19" t="inlineStr">
        <is>
          <t>Limpia con guadaña El Habra al dia festivo</t>
        </is>
      </c>
      <c r="C883" s="19" t="inlineStr">
        <is>
          <t>hora</t>
        </is>
      </c>
      <c r="E883" s="19" t="n">
        <v>911</v>
      </c>
    </row>
    <row r="884">
      <c r="A884" s="19" t="n">
        <v>912</v>
      </c>
      <c r="B884" s="19" t="inlineStr">
        <is>
          <t>Organizacion de antenas</t>
        </is>
      </c>
      <c r="C884" s="19" t="inlineStr">
        <is>
          <t>hora</t>
        </is>
      </c>
      <c r="E884" s="19" t="n">
        <v>912</v>
      </c>
    </row>
    <row r="885">
      <c r="A885" s="19" t="n">
        <v>913</v>
      </c>
      <c r="B885" s="19" t="inlineStr">
        <is>
          <t>Oficios varios festivo</t>
        </is>
      </c>
      <c r="C885" s="19" t="inlineStr">
        <is>
          <t>dia</t>
        </is>
      </c>
      <c r="E885" s="19" t="n">
        <v>913</v>
      </c>
    </row>
    <row r="886">
      <c r="A886" s="19" t="n">
        <v>914</v>
      </c>
      <c r="B886" s="19" t="inlineStr">
        <is>
          <t>Pegada de carton empacadora movil</t>
        </is>
      </c>
      <c r="C886" s="19" t="inlineStr">
        <is>
          <t>hora</t>
        </is>
      </c>
      <c r="E886" s="19" t="n">
        <v>914</v>
      </c>
    </row>
    <row r="887">
      <c r="A887" s="19" t="n">
        <v>915</v>
      </c>
      <c r="B887" s="19" t="inlineStr">
        <is>
          <t>Recibo y reubicacion tanques e.m. dominical</t>
        </is>
      </c>
      <c r="C887" s="19" t="inlineStr">
        <is>
          <t>hora</t>
        </is>
      </c>
      <c r="E887" s="19" t="n">
        <v>915</v>
      </c>
    </row>
    <row r="888">
      <c r="A888" s="19" t="n">
        <v>916</v>
      </c>
      <c r="B888" s="19" t="inlineStr">
        <is>
          <t>Amarre al dia festivo</t>
        </is>
      </c>
      <c r="C888" s="19" t="inlineStr">
        <is>
          <t>hora</t>
        </is>
      </c>
      <c r="E888" s="19" t="n">
        <v>916</v>
      </c>
    </row>
    <row r="889">
      <c r="A889" s="19" t="n">
        <v>917</v>
      </c>
      <c r="B889" s="19" t="inlineStr">
        <is>
          <t>Transporte de turbina</t>
        </is>
      </c>
      <c r="C889" s="19" t="inlineStr">
        <is>
          <t>hora</t>
        </is>
      </c>
      <c r="E889" s="19" t="n">
        <v>917</v>
      </c>
    </row>
    <row r="890">
      <c r="A890" s="19" t="n">
        <v>920</v>
      </c>
      <c r="B890" s="19" t="inlineStr">
        <is>
          <t>Mantenimiento de casa quinta</t>
        </is>
      </c>
      <c r="C890" s="19" t="inlineStr">
        <is>
          <t>hora</t>
        </is>
      </c>
      <c r="E890" s="19" t="n">
        <v>920</v>
      </c>
    </row>
    <row r="891">
      <c r="A891" s="19" t="n">
        <v>921</v>
      </c>
      <c r="B891" s="19" t="inlineStr">
        <is>
          <t>Conductor tractomula dominical</t>
        </is>
      </c>
      <c r="C891" s="19" t="inlineStr">
        <is>
          <t>jornal</t>
        </is>
      </c>
      <c r="E891" s="19" t="n">
        <v>921</v>
      </c>
    </row>
    <row r="892">
      <c r="A892" s="19" t="n">
        <v>922</v>
      </c>
      <c r="B892" s="19" t="inlineStr">
        <is>
          <t>Aplicacion de abono</t>
        </is>
      </c>
      <c r="C892" s="19" t="inlineStr">
        <is>
          <t>hectarea</t>
        </is>
      </c>
      <c r="E892" s="19" t="n">
        <v>922</v>
      </c>
    </row>
    <row r="893">
      <c r="A893" s="19" t="n">
        <v>923</v>
      </c>
      <c r="B893" s="19" t="inlineStr">
        <is>
          <t>Descargue de insumos dominical</t>
        </is>
      </c>
      <c r="C893" s="19" t="inlineStr">
        <is>
          <t>hora</t>
        </is>
      </c>
      <c r="E893" s="19" t="n">
        <v>923</v>
      </c>
    </row>
    <row r="894">
      <c r="A894" s="19" t="n">
        <v>924</v>
      </c>
      <c r="B894" s="19" t="inlineStr">
        <is>
          <t>Mantenimiento de riego adm dominical</t>
        </is>
      </c>
      <c r="C894" s="19" t="inlineStr">
        <is>
          <t>hora</t>
        </is>
      </c>
      <c r="E894" s="19" t="n">
        <v>924</v>
      </c>
    </row>
    <row r="895">
      <c r="A895" s="19" t="n">
        <v>925</v>
      </c>
      <c r="B895" s="19" t="inlineStr">
        <is>
          <t>Embolse y amarre festivo</t>
        </is>
      </c>
      <c r="C895" s="19" t="inlineStr">
        <is>
          <t>hectarea</t>
        </is>
      </c>
      <c r="E895" s="19" t="n">
        <v>925</v>
      </c>
    </row>
    <row r="896">
      <c r="A896" s="19" t="n">
        <v>926</v>
      </c>
      <c r="B896" s="19" t="inlineStr">
        <is>
          <t>Soltura de cable via</t>
        </is>
      </c>
      <c r="C896" s="19" t="inlineStr">
        <is>
          <t>hora</t>
        </is>
      </c>
      <c r="E896" s="19" t="n">
        <v>926</v>
      </c>
    </row>
    <row r="897">
      <c r="A897" s="19" t="n">
        <v>927</v>
      </c>
      <c r="B897" s="19" t="inlineStr">
        <is>
          <t>Aplicacion de mezcla especial</t>
        </is>
      </c>
      <c r="C897" s="19" t="inlineStr">
        <is>
          <t>hora</t>
        </is>
      </c>
      <c r="E897" s="19" t="n">
        <v>927</v>
      </c>
    </row>
    <row r="898">
      <c r="A898" s="19" t="n">
        <v>928</v>
      </c>
      <c r="B898" s="19" t="inlineStr">
        <is>
          <t>Aplicacion de azufre</t>
        </is>
      </c>
      <c r="C898" s="19" t="inlineStr">
        <is>
          <t>hora</t>
        </is>
      </c>
      <c r="E898" s="19" t="n">
        <v>928</v>
      </c>
    </row>
    <row r="899">
      <c r="A899" s="19" t="n">
        <v>929</v>
      </c>
      <c r="B899" s="19" t="inlineStr">
        <is>
          <t>Repique de hojas festivo</t>
        </is>
      </c>
      <c r="C899" s="19" t="inlineStr">
        <is>
          <t>hora</t>
        </is>
      </c>
      <c r="E899" s="19" t="n">
        <v>929</v>
      </c>
    </row>
    <row r="900">
      <c r="A900" s="19" t="n">
        <v>930</v>
      </c>
      <c r="B900" s="19" t="inlineStr">
        <is>
          <t>Traslado de madera dominical</t>
        </is>
      </c>
      <c r="C900" s="19" t="inlineStr">
        <is>
          <t>hora</t>
        </is>
      </c>
      <c r="E900" s="19" t="n">
        <v>930</v>
      </c>
    </row>
    <row r="901">
      <c r="A901" s="19" t="n">
        <v>931</v>
      </c>
      <c r="B901" s="19" t="inlineStr">
        <is>
          <t>Desborone de terrones</t>
        </is>
      </c>
      <c r="C901" s="19" t="inlineStr">
        <is>
          <t>hora</t>
        </is>
      </c>
      <c r="E901" s="19" t="n">
        <v>931</v>
      </c>
    </row>
    <row r="902">
      <c r="A902" s="19" t="n">
        <v>932</v>
      </c>
      <c r="B902" s="19" t="inlineStr">
        <is>
          <t>Saldo pendiente cosecha</t>
        </is>
      </c>
      <c r="C902" s="19" t="inlineStr">
        <is>
          <t>tonelada</t>
        </is>
      </c>
      <c r="E902" s="19" t="n">
        <v>932</v>
      </c>
    </row>
    <row r="903">
      <c r="A903" s="19" t="n">
        <v>933</v>
      </c>
      <c r="B903" s="19" t="inlineStr">
        <is>
          <t>Aprendiz sena festivo</t>
        </is>
      </c>
      <c r="C903" s="19" t="inlineStr">
        <is>
          <t>hora</t>
        </is>
      </c>
      <c r="E903" s="19" t="n">
        <v>933</v>
      </c>
    </row>
    <row r="904">
      <c r="A904" s="19" t="n">
        <v>934</v>
      </c>
      <c r="B904" s="19" t="inlineStr">
        <is>
          <t>Saldo pendiente aprendiz sena festivo</t>
        </is>
      </c>
      <c r="C904" s="19" t="inlineStr">
        <is>
          <t>hora</t>
        </is>
      </c>
      <c r="E904" s="19" t="n">
        <v>934</v>
      </c>
    </row>
    <row r="905">
      <c r="A905" s="19" t="n">
        <v>935</v>
      </c>
      <c r="B905" s="19" t="inlineStr">
        <is>
          <t>Corte empacadora movil</t>
        </is>
      </c>
      <c r="C905" s="19" t="inlineStr">
        <is>
          <t>unidad</t>
        </is>
      </c>
      <c r="E905" s="19" t="n">
        <v>935</v>
      </c>
    </row>
    <row r="906">
      <c r="A906" s="19" t="n">
        <v>936</v>
      </c>
      <c r="B906" s="19" t="inlineStr">
        <is>
          <t>Corte empacadora movil festivo</t>
        </is>
      </c>
      <c r="C906" s="19" t="inlineStr">
        <is>
          <t>unidad</t>
        </is>
      </c>
      <c r="E906" s="19" t="n">
        <v>936</v>
      </c>
    </row>
    <row r="907">
      <c r="A907" s="19" t="n">
        <v>937</v>
      </c>
      <c r="B907" s="19" t="inlineStr">
        <is>
          <t>Corte promedio empacadora movil</t>
        </is>
      </c>
      <c r="C907" s="19" t="inlineStr">
        <is>
          <t>unidad</t>
        </is>
      </c>
      <c r="E907" s="19" t="n">
        <v>937</v>
      </c>
    </row>
    <row r="908">
      <c r="A908" s="19" t="n">
        <v>938</v>
      </c>
      <c r="B908" s="19" t="inlineStr">
        <is>
          <t>Corte promedio empacadora movil festivo</t>
        </is>
      </c>
      <c r="C908" s="19" t="inlineStr">
        <is>
          <t>unidad</t>
        </is>
      </c>
      <c r="E908" s="19" t="n">
        <v>938</v>
      </c>
    </row>
    <row r="909">
      <c r="A909" s="19" t="n">
        <v>939</v>
      </c>
      <c r="B909" s="19" t="inlineStr">
        <is>
          <t>Corte promedio palletizador</t>
        </is>
      </c>
      <c r="C909" s="19" t="inlineStr">
        <is>
          <t>unidad</t>
        </is>
      </c>
      <c r="E909" s="19" t="n">
        <v>939</v>
      </c>
    </row>
    <row r="910">
      <c r="A910" s="19" t="n">
        <v>940</v>
      </c>
      <c r="B910" s="19" t="inlineStr">
        <is>
          <t>Corte promedio palletizador festivo</t>
        </is>
      </c>
      <c r="C910" s="19" t="inlineStr">
        <is>
          <t>unidad</t>
        </is>
      </c>
      <c r="E910" s="19" t="n">
        <v>940</v>
      </c>
    </row>
    <row r="911">
      <c r="A911" s="19" t="n">
        <v>941</v>
      </c>
      <c r="B911" s="19" t="inlineStr">
        <is>
          <t>Corte promedio pega caja</t>
        </is>
      </c>
      <c r="C911" s="19" t="inlineStr">
        <is>
          <t>unidad</t>
        </is>
      </c>
      <c r="E911" s="19" t="n">
        <v>941</v>
      </c>
    </row>
    <row r="912">
      <c r="A912" s="19" t="n">
        <v>942</v>
      </c>
      <c r="B912" s="19" t="inlineStr">
        <is>
          <t>Corte promedio pega caja festivo</t>
        </is>
      </c>
      <c r="C912" s="19" t="inlineStr">
        <is>
          <t>unidad</t>
        </is>
      </c>
      <c r="E912" s="19" t="n">
        <v>942</v>
      </c>
    </row>
    <row r="913">
      <c r="A913" s="19" t="n">
        <v>943</v>
      </c>
      <c r="B913" s="19" t="inlineStr">
        <is>
          <t>Corte promedio surtidor</t>
        </is>
      </c>
      <c r="C913" s="19" t="inlineStr">
        <is>
          <t>unidad</t>
        </is>
      </c>
      <c r="E913" s="19" t="n">
        <v>943</v>
      </c>
    </row>
    <row r="914">
      <c r="A914" s="19" t="n">
        <v>944</v>
      </c>
      <c r="B914" s="19" t="inlineStr">
        <is>
          <t>Corte promedio surtidor festivo</t>
        </is>
      </c>
      <c r="C914" s="19" t="inlineStr">
        <is>
          <t>unidad</t>
        </is>
      </c>
      <c r="E914" s="19" t="n">
        <v>944</v>
      </c>
    </row>
    <row r="915">
      <c r="A915" s="19" t="n">
        <v>945</v>
      </c>
      <c r="B915" s="19" t="inlineStr">
        <is>
          <t>Corte promedio bioseguridad</t>
        </is>
      </c>
      <c r="C915" s="19" t="inlineStr">
        <is>
          <t>caja</t>
        </is>
      </c>
      <c r="E915" s="19" t="n">
        <v>945</v>
      </c>
    </row>
    <row r="916">
      <c r="A916" s="19" t="n">
        <v>946</v>
      </c>
      <c r="B916" s="19" t="inlineStr">
        <is>
          <t>Corte promedio bioseguridad festivo</t>
        </is>
      </c>
      <c r="C916" s="19" t="inlineStr">
        <is>
          <t>caja</t>
        </is>
      </c>
      <c r="E916" s="19" t="n">
        <v>946</v>
      </c>
    </row>
    <row r="917">
      <c r="A917" s="19" t="n">
        <v>947</v>
      </c>
      <c r="B917" s="19" t="inlineStr">
        <is>
          <t>Corte promedio arrumador</t>
        </is>
      </c>
      <c r="C917" s="19" t="inlineStr">
        <is>
          <t>unidad</t>
        </is>
      </c>
      <c r="E917" s="19" t="n">
        <v>947</v>
      </c>
    </row>
    <row r="918">
      <c r="A918" s="19" t="n">
        <v>948</v>
      </c>
      <c r="B918" s="19" t="inlineStr">
        <is>
          <t>Corte promedio arrumador festivo</t>
        </is>
      </c>
      <c r="C918" s="19" t="inlineStr">
        <is>
          <t>unidad</t>
        </is>
      </c>
      <c r="E918" s="19" t="n">
        <v>948</v>
      </c>
    </row>
    <row r="919">
      <c r="A919" s="19" t="n">
        <v>949</v>
      </c>
      <c r="B919" s="19" t="inlineStr">
        <is>
          <t>Bonificacion por cajas Maria Laura</t>
        </is>
      </c>
      <c r="C919" s="19" t="inlineStr">
        <is>
          <t>caja</t>
        </is>
      </c>
      <c r="E919" s="19" t="n">
        <v>949</v>
      </c>
    </row>
    <row r="920">
      <c r="A920" s="19" t="n">
        <v>950</v>
      </c>
      <c r="B920" s="19" t="inlineStr">
        <is>
          <t>Desflore e identificacion al dia</t>
        </is>
      </c>
      <c r="C920" s="19" t="inlineStr">
        <is>
          <t>hora</t>
        </is>
      </c>
      <c r="E920" s="19" t="n">
        <v>950</v>
      </c>
    </row>
    <row r="921">
      <c r="A921" s="19" t="n">
        <v>951</v>
      </c>
      <c r="B921" s="19" t="inlineStr">
        <is>
          <t>Botada de fruta pulpa crema</t>
        </is>
      </c>
      <c r="C921" s="19" t="inlineStr">
        <is>
          <t>hora</t>
        </is>
      </c>
      <c r="E921" s="19" t="n">
        <v>951</v>
      </c>
    </row>
    <row r="922">
      <c r="A922" s="19" t="n">
        <v>952</v>
      </c>
      <c r="B922" s="19" t="inlineStr">
        <is>
          <t>Hechura de hueco para siembra</t>
        </is>
      </c>
      <c r="C922" s="19" t="inlineStr">
        <is>
          <t>unidad</t>
        </is>
      </c>
      <c r="E922" s="19" t="n">
        <v>952</v>
      </c>
    </row>
    <row r="923">
      <c r="A923" s="19" t="n">
        <v>953</v>
      </c>
      <c r="B923" s="19" t="inlineStr">
        <is>
          <t>Traslado de tablas</t>
        </is>
      </c>
      <c r="C923" s="19" t="inlineStr">
        <is>
          <t>hora</t>
        </is>
      </c>
      <c r="E923" s="19" t="n">
        <v>953</v>
      </c>
    </row>
    <row r="924">
      <c r="A924" s="19" t="n">
        <v>954</v>
      </c>
      <c r="B924" s="19" t="inlineStr">
        <is>
          <t>Descargue de carton dominical</t>
        </is>
      </c>
      <c r="C924" s="19" t="inlineStr">
        <is>
          <t>hora</t>
        </is>
      </c>
      <c r="E924" s="19" t="n">
        <v>954</v>
      </c>
    </row>
    <row r="925">
      <c r="A925" s="19" t="n">
        <v>955</v>
      </c>
      <c r="B925" s="19" t="inlineStr">
        <is>
          <t>Proteccion de fruta al dia</t>
        </is>
      </c>
      <c r="C925" s="19" t="inlineStr">
        <is>
          <t>hora</t>
        </is>
      </c>
      <c r="E925" s="19" t="n">
        <v>955</v>
      </c>
    </row>
    <row r="926">
      <c r="A926" s="19" t="n">
        <v>956</v>
      </c>
      <c r="B926" s="19" t="inlineStr">
        <is>
          <t>Saldo pendiente proteccion de fruta</t>
        </is>
      </c>
      <c r="C926" s="19" t="inlineStr">
        <is>
          <t>hora</t>
        </is>
      </c>
      <c r="E926" s="19" t="n">
        <v>956</v>
      </c>
    </row>
    <row r="927">
      <c r="A927" s="19" t="n">
        <v>957</v>
      </c>
      <c r="B927" s="19" t="inlineStr">
        <is>
          <t>Botada de vastago al dia</t>
        </is>
      </c>
      <c r="C927" s="19" t="inlineStr">
        <is>
          <t>hora</t>
        </is>
      </c>
      <c r="E927" s="19" t="n">
        <v>957</v>
      </c>
    </row>
    <row r="928">
      <c r="A928" s="19" t="n">
        <v>958</v>
      </c>
      <c r="B928" s="19" t="inlineStr">
        <is>
          <t>Aplicacion de herbicida al dia festivo</t>
        </is>
      </c>
      <c r="C928" s="19" t="inlineStr">
        <is>
          <t>hectarea</t>
        </is>
      </c>
      <c r="E928" s="19" t="n">
        <v>958</v>
      </c>
    </row>
    <row r="929">
      <c r="A929" s="19" t="n">
        <v>959</v>
      </c>
      <c r="B929" s="19" t="inlineStr">
        <is>
          <t>Aplicacion de abono al dia dominical</t>
        </is>
      </c>
      <c r="C929" s="19" t="inlineStr">
        <is>
          <t>hora</t>
        </is>
      </c>
      <c r="E929" s="19" t="n">
        <v>959</v>
      </c>
    </row>
    <row r="930">
      <c r="A930" s="19" t="n">
        <v>960</v>
      </c>
      <c r="B930" s="19" t="inlineStr">
        <is>
          <t>Saldo pendiente maquinaria</t>
        </is>
      </c>
      <c r="C930" s="19" t="inlineStr">
        <is>
          <t>hora</t>
        </is>
      </c>
      <c r="E930" s="19" t="n">
        <v>960</v>
      </c>
    </row>
    <row r="931">
      <c r="A931" s="19" t="n">
        <v>961</v>
      </c>
      <c r="B931" s="19" t="inlineStr">
        <is>
          <t>Saldo pendiente horometro maquinaria</t>
        </is>
      </c>
      <c r="C931" s="19" t="inlineStr">
        <is>
          <t>hora</t>
        </is>
      </c>
      <c r="E931" s="19" t="n">
        <v>961</v>
      </c>
    </row>
    <row r="932">
      <c r="A932" s="19" t="n">
        <v>962</v>
      </c>
      <c r="B932" s="19" t="inlineStr">
        <is>
          <t>Aseo de casa administrativa</t>
        </is>
      </c>
      <c r="C932" s="19" t="inlineStr">
        <is>
          <t>hora</t>
        </is>
      </c>
      <c r="E932" s="19" t="n">
        <v>962</v>
      </c>
    </row>
    <row r="933">
      <c r="A933" s="19" t="n">
        <v>963</v>
      </c>
      <c r="B933" s="19" t="inlineStr">
        <is>
          <t>Ayudante de prueba arbol</t>
        </is>
      </c>
      <c r="C933" s="19" t="inlineStr">
        <is>
          <t>hora</t>
        </is>
      </c>
      <c r="E933" s="19" t="n">
        <v>963</v>
      </c>
    </row>
    <row r="934">
      <c r="A934" s="19" t="n">
        <v>964</v>
      </c>
      <c r="B934" s="19" t="inlineStr">
        <is>
          <t>Cargue de palma mula h.e.d.</t>
        </is>
      </c>
      <c r="C934" s="19" t="inlineStr">
        <is>
          <t>hora</t>
        </is>
      </c>
      <c r="E934" s="19" t="n">
        <v>964</v>
      </c>
    </row>
    <row r="935">
      <c r="A935" s="19" t="n">
        <v>965</v>
      </c>
      <c r="B935" s="19" t="inlineStr">
        <is>
          <t>Saldo pendiente descargue de carton</t>
        </is>
      </c>
      <c r="C935" s="19" t="inlineStr">
        <is>
          <t>hora</t>
        </is>
      </c>
      <c r="E935" s="19" t="n">
        <v>965</v>
      </c>
    </row>
    <row r="936">
      <c r="A936" s="19" t="n">
        <v>966</v>
      </c>
      <c r="B936" s="19" t="inlineStr">
        <is>
          <t>Auxilio de transporte transporte</t>
        </is>
      </c>
      <c r="C936" s="19" t="inlineStr">
        <is>
          <t>dia</t>
        </is>
      </c>
      <c r="E936" s="19" t="n">
        <v>966</v>
      </c>
    </row>
    <row r="937">
      <c r="A937" s="19" t="n">
        <v>967</v>
      </c>
      <c r="B937" s="19" t="inlineStr">
        <is>
          <t>Recogida alambre de cerca</t>
        </is>
      </c>
      <c r="C937" s="19" t="inlineStr">
        <is>
          <t>hora</t>
        </is>
      </c>
      <c r="E937" s="19" t="n">
        <v>967</v>
      </c>
    </row>
    <row r="938">
      <c r="A938" s="19" t="n">
        <v>968</v>
      </c>
      <c r="B938" s="19" t="inlineStr">
        <is>
          <t>Tractorista dominical h.e.d.</t>
        </is>
      </c>
      <c r="C938" s="19" t="inlineStr">
        <is>
          <t>hora</t>
        </is>
      </c>
      <c r="E938" s="19" t="n">
        <v>968</v>
      </c>
    </row>
    <row r="939">
      <c r="A939" s="19" t="n">
        <v>969</v>
      </c>
      <c r="B939" s="19" t="inlineStr">
        <is>
          <t>Oficios varios dominical h.e.d.</t>
        </is>
      </c>
      <c r="C939" s="19" t="inlineStr">
        <is>
          <t>hora</t>
        </is>
      </c>
      <c r="E939" s="19" t="n">
        <v>969</v>
      </c>
    </row>
    <row r="940">
      <c r="A940" s="19" t="n">
        <v>970</v>
      </c>
      <c r="B940" s="19" t="inlineStr">
        <is>
          <t>Fumigacion al dia El Habra</t>
        </is>
      </c>
      <c r="C940" s="19" t="inlineStr">
        <is>
          <t>hora</t>
        </is>
      </c>
      <c r="E940" s="19" t="n">
        <v>970</v>
      </c>
    </row>
    <row r="941">
      <c r="A941" s="19" t="n">
        <v>971</v>
      </c>
      <c r="B941" s="19" t="inlineStr">
        <is>
          <t>Riego El Habra</t>
        </is>
      </c>
      <c r="C941" s="19" t="inlineStr">
        <is>
          <t>hora</t>
        </is>
      </c>
      <c r="E941" s="19" t="n">
        <v>971</v>
      </c>
    </row>
    <row r="942">
      <c r="A942" s="19" t="n">
        <v>972</v>
      </c>
      <c r="B942" s="19" t="inlineStr">
        <is>
          <t>Montada de carton h.e.d.</t>
        </is>
      </c>
      <c r="C942" s="19" t="inlineStr">
        <is>
          <t>hora</t>
        </is>
      </c>
      <c r="E942" s="19" t="n">
        <v>972</v>
      </c>
    </row>
    <row r="943">
      <c r="A943" s="19" t="n">
        <v>973</v>
      </c>
      <c r="B943" s="19" t="inlineStr">
        <is>
          <t>Montada de carton</t>
        </is>
      </c>
      <c r="C943" s="19" t="inlineStr">
        <is>
          <t>hora</t>
        </is>
      </c>
      <c r="E943" s="19" t="n">
        <v>973</v>
      </c>
    </row>
    <row r="944">
      <c r="A944" s="19" t="n">
        <v>974</v>
      </c>
      <c r="B944" s="19" t="inlineStr">
        <is>
          <t>Riego El Habra dominical</t>
        </is>
      </c>
      <c r="C944" s="19" t="inlineStr">
        <is>
          <t>hora</t>
        </is>
      </c>
      <c r="E944" s="19" t="n">
        <v>974</v>
      </c>
    </row>
    <row r="945">
      <c r="A945" s="19" t="n">
        <v>975</v>
      </c>
      <c r="B945" s="19" t="inlineStr">
        <is>
          <t>Corte promedio rechazo dominical</t>
        </is>
      </c>
      <c r="C945" s="19" t="inlineStr">
        <is>
          <t>caja</t>
        </is>
      </c>
      <c r="E945" s="19" t="n">
        <v>975</v>
      </c>
    </row>
    <row r="946">
      <c r="A946" s="19" t="n">
        <v>976</v>
      </c>
      <c r="B946" s="19" t="inlineStr">
        <is>
          <t>Corte promedio bioseguridad dominical</t>
        </is>
      </c>
      <c r="C946" s="19" t="inlineStr">
        <is>
          <t>caja</t>
        </is>
      </c>
      <c r="E946" s="19" t="n">
        <v>976</v>
      </c>
    </row>
    <row r="947">
      <c r="A947" s="19" t="n">
        <v>977</v>
      </c>
      <c r="B947" s="19" t="inlineStr">
        <is>
          <t>Auxiliar de casino dominical</t>
        </is>
      </c>
      <c r="C947" s="19" t="inlineStr">
        <is>
          <t>hora</t>
        </is>
      </c>
      <c r="E947" s="19" t="n">
        <v>977</v>
      </c>
    </row>
    <row r="948">
      <c r="A948" s="19" t="n">
        <v>978</v>
      </c>
      <c r="B948" s="19" t="inlineStr">
        <is>
          <t>Cablero dominical</t>
        </is>
      </c>
      <c r="C948" s="19" t="inlineStr">
        <is>
          <t>hora</t>
        </is>
      </c>
      <c r="E948" s="19" t="n">
        <v>978</v>
      </c>
    </row>
    <row r="949">
      <c r="A949" s="19" t="n">
        <v>979</v>
      </c>
      <c r="B949" s="19" t="inlineStr">
        <is>
          <t>Repique de pulpa crema</t>
        </is>
      </c>
      <c r="C949" s="19" t="inlineStr">
        <is>
          <t>hora</t>
        </is>
      </c>
      <c r="E949" s="19" t="n">
        <v>979</v>
      </c>
    </row>
    <row r="950">
      <c r="A950" s="19" t="n">
        <v>980</v>
      </c>
      <c r="B950" s="19" t="inlineStr">
        <is>
          <t>Relleno de tierra</t>
        </is>
      </c>
      <c r="C950" s="19" t="inlineStr">
        <is>
          <t>hora</t>
        </is>
      </c>
      <c r="E950" s="19" t="n">
        <v>980</v>
      </c>
    </row>
    <row r="951">
      <c r="A951" s="19" t="n">
        <v>981</v>
      </c>
      <c r="B951" s="19" t="inlineStr">
        <is>
          <t>Repique de arbol caido</t>
        </is>
      </c>
      <c r="C951" s="19" t="inlineStr">
        <is>
          <t>hora</t>
        </is>
      </c>
      <c r="E951" s="19" t="n">
        <v>981</v>
      </c>
    </row>
    <row r="952">
      <c r="A952" s="19" t="n">
        <v>982</v>
      </c>
      <c r="B952" s="19" t="inlineStr">
        <is>
          <t>Corte al dia dominical</t>
        </is>
      </c>
      <c r="C952" s="19" t="inlineStr">
        <is>
          <t>hora</t>
        </is>
      </c>
      <c r="E952" s="19" t="n">
        <v>982</v>
      </c>
    </row>
    <row r="953">
      <c r="A953" s="19" t="n">
        <v>983</v>
      </c>
      <c r="B953" s="19" t="inlineStr">
        <is>
          <t>Corte promedio al dia dominical</t>
        </is>
      </c>
      <c r="C953" s="19" t="inlineStr">
        <is>
          <t>hora</t>
        </is>
      </c>
      <c r="E953" s="19" t="n">
        <v>983</v>
      </c>
    </row>
    <row r="954">
      <c r="A954" s="19" t="n">
        <v>984</v>
      </c>
      <c r="B954" s="19" t="inlineStr">
        <is>
          <t>Corte promedio rechazo al dia dominical</t>
        </is>
      </c>
      <c r="C954" s="19" t="inlineStr">
        <is>
          <t>hora</t>
        </is>
      </c>
      <c r="E954" s="19" t="n">
        <v>984</v>
      </c>
    </row>
    <row r="955">
      <c r="A955" s="19" t="n">
        <v>985</v>
      </c>
      <c r="B955" s="19" t="inlineStr">
        <is>
          <t>Corte promedio bioseguridad al dia dominical</t>
        </is>
      </c>
      <c r="C955" s="19" t="inlineStr">
        <is>
          <t>hora</t>
        </is>
      </c>
      <c r="E955" s="19" t="n">
        <v>985</v>
      </c>
    </row>
    <row r="956">
      <c r="A956" s="19" t="n">
        <v>986</v>
      </c>
      <c r="B956" s="19" t="inlineStr">
        <is>
          <t>Corte promedio bioseguridad al dia</t>
        </is>
      </c>
      <c r="C956" s="19" t="inlineStr">
        <is>
          <t>hora</t>
        </is>
      </c>
      <c r="E956" s="19" t="n">
        <v>986</v>
      </c>
    </row>
    <row r="957">
      <c r="A957" s="19" t="n">
        <v>987</v>
      </c>
      <c r="B957" s="19" t="inlineStr">
        <is>
          <t>Embolse y amarre dominical</t>
        </is>
      </c>
      <c r="C957" s="19" t="inlineStr">
        <is>
          <t>hectarea</t>
        </is>
      </c>
      <c r="E957" s="19" t="n">
        <v>987</v>
      </c>
    </row>
    <row r="958">
      <c r="A958" s="19" t="n">
        <v>988</v>
      </c>
      <c r="B958" s="19" t="inlineStr">
        <is>
          <t>Operador de dron</t>
        </is>
      </c>
      <c r="C958" s="19" t="inlineStr">
        <is>
          <t>jornal</t>
        </is>
      </c>
      <c r="E958" s="19" t="n">
        <v>988</v>
      </c>
    </row>
    <row r="959">
      <c r="A959" s="19" t="n">
        <v>989</v>
      </c>
      <c r="B959" s="19" t="inlineStr">
        <is>
          <t>Riego El Habra festivo</t>
        </is>
      </c>
      <c r="C959" s="19" t="inlineStr">
        <is>
          <t>hora</t>
        </is>
      </c>
      <c r="E959" s="19" t="n">
        <v>989</v>
      </c>
    </row>
    <row r="960">
      <c r="A960" s="19" t="n">
        <v>990</v>
      </c>
      <c r="B960" s="19" t="inlineStr">
        <is>
          <t>Gondulero</t>
        </is>
      </c>
      <c r="C960" s="19" t="inlineStr">
        <is>
          <t>hora</t>
        </is>
      </c>
      <c r="E960" s="19" t="n">
        <v>990</v>
      </c>
    </row>
    <row r="961">
      <c r="A961" s="19" t="n">
        <v>991</v>
      </c>
      <c r="B961" s="19" t="inlineStr">
        <is>
          <t>Repique de hojas h.e.d.</t>
        </is>
      </c>
      <c r="C961" s="19" t="inlineStr">
        <is>
          <t>hora</t>
        </is>
      </c>
      <c r="E961" s="19" t="n">
        <v>991</v>
      </c>
    </row>
    <row r="962">
      <c r="A962" s="19" t="n">
        <v>992</v>
      </c>
      <c r="B962" s="19" t="inlineStr">
        <is>
          <t>Gondulero h.e.d.</t>
        </is>
      </c>
      <c r="C962" s="19" t="inlineStr">
        <is>
          <t>hora</t>
        </is>
      </c>
      <c r="E962" s="19" t="n">
        <v>992</v>
      </c>
    </row>
    <row r="963">
      <c r="A963" s="19" t="n">
        <v>993</v>
      </c>
      <c r="B963" s="19" t="inlineStr">
        <is>
          <t>Limpia con guadaña El Habra al dia h.e.d.</t>
        </is>
      </c>
      <c r="C963" s="19" t="inlineStr">
        <is>
          <t>hora</t>
        </is>
      </c>
      <c r="E963" s="19" t="n">
        <v>993</v>
      </c>
    </row>
    <row r="964">
      <c r="A964" s="19" t="n">
        <v>994</v>
      </c>
      <c r="B964" s="19" t="inlineStr">
        <is>
          <t>Ingeniero agronomo</t>
        </is>
      </c>
      <c r="C964" s="19" t="inlineStr">
        <is>
          <t>dia</t>
        </is>
      </c>
      <c r="E964" s="19" t="n">
        <v>994</v>
      </c>
    </row>
    <row r="965">
      <c r="A965" s="19" t="n">
        <v>995</v>
      </c>
      <c r="B965" s="19" t="inlineStr">
        <is>
          <t>Ayudante de fumigacion aerea</t>
        </is>
      </c>
      <c r="C965" s="19" t="inlineStr">
        <is>
          <t>hora</t>
        </is>
      </c>
      <c r="E965" s="19" t="n">
        <v>995</v>
      </c>
    </row>
    <row r="966">
      <c r="A966" s="19" t="n">
        <v>996</v>
      </c>
      <c r="B966" s="19" t="inlineStr">
        <is>
          <t>Ayudante de fumigacion aerea h.e.d.</t>
        </is>
      </c>
      <c r="C966" s="19" t="inlineStr">
        <is>
          <t>hora</t>
        </is>
      </c>
      <c r="E966" s="19" t="n">
        <v>996</v>
      </c>
    </row>
    <row r="967">
      <c r="A967" s="19" t="n">
        <v>997</v>
      </c>
      <c r="B967" s="19" t="inlineStr">
        <is>
          <t>Retroactivo incremento salarial adm</t>
        </is>
      </c>
      <c r="C967" s="19" t="inlineStr">
        <is>
          <t>dia</t>
        </is>
      </c>
      <c r="E967" s="19" t="n">
        <v>997</v>
      </c>
    </row>
    <row r="968">
      <c r="A968" s="19" t="n">
        <v>998</v>
      </c>
      <c r="B968" s="19" t="inlineStr">
        <is>
          <t>Retroactivo incremento salarial</t>
        </is>
      </c>
      <c r="C968" s="19" t="inlineStr">
        <is>
          <t>dia</t>
        </is>
      </c>
      <c r="E968" s="19" t="n">
        <v>998</v>
      </c>
    </row>
    <row r="969">
      <c r="A969" s="19" t="n">
        <v>999</v>
      </c>
      <c r="B969" s="19" t="inlineStr">
        <is>
          <t>Integracion empresa adm</t>
        </is>
      </c>
      <c r="C969" s="19" t="inlineStr">
        <is>
          <t>hora</t>
        </is>
      </c>
      <c r="E969" s="19" t="n">
        <v>999</v>
      </c>
    </row>
    <row r="970">
      <c r="A970" s="19" t="n">
        <v>1000</v>
      </c>
      <c r="B970" s="19" t="inlineStr">
        <is>
          <t>Aseo de casa Elizabeth</t>
        </is>
      </c>
      <c r="C970" s="19" t="inlineStr">
        <is>
          <t>hora</t>
        </is>
      </c>
      <c r="E970" s="19" t="n">
        <v>1000</v>
      </c>
    </row>
    <row r="971">
      <c r="A971" s="19" t="n">
        <v>1001</v>
      </c>
      <c r="B971" s="19" t="inlineStr">
        <is>
          <t>Auxilio de transporte maquinaria</t>
        </is>
      </c>
      <c r="C971" s="19" t="inlineStr">
        <is>
          <t>dia</t>
        </is>
      </c>
      <c r="E971" s="19" t="n">
        <v>1001</v>
      </c>
    </row>
    <row r="972">
      <c r="A972" s="19" t="n">
        <v>1002</v>
      </c>
      <c r="B972" s="19" t="inlineStr">
        <is>
          <t>Chop bag</t>
        </is>
      </c>
      <c r="C972" s="19" t="inlineStr">
        <is>
          <t>hora</t>
        </is>
      </c>
      <c r="E972" s="19" t="n">
        <v>1002</v>
      </c>
    </row>
    <row r="973">
      <c r="A973" s="19" t="n">
        <v>1003</v>
      </c>
      <c r="B973" s="19" t="inlineStr">
        <is>
          <t>Recuperacion de area con vastagos</t>
        </is>
      </c>
      <c r="C973" s="19" t="inlineStr">
        <is>
          <t>hora</t>
        </is>
      </c>
      <c r="E973" s="19" t="n">
        <v>1003</v>
      </c>
    </row>
    <row r="974">
      <c r="A974" s="19" t="n">
        <v>1004</v>
      </c>
      <c r="B974" s="19" t="inlineStr">
        <is>
          <t>Permiso por enfermedad</t>
        </is>
      </c>
      <c r="C974" s="19" t="inlineStr">
        <is>
          <t>hora</t>
        </is>
      </c>
      <c r="E974" s="19" t="n">
        <v>1004</v>
      </c>
    </row>
    <row r="975">
      <c r="A975" s="19" t="n">
        <v>1005</v>
      </c>
      <c r="B975" s="19" t="inlineStr">
        <is>
          <t>Saldo pendiente control de poblacion</t>
        </is>
      </c>
      <c r="C975" s="19" t="inlineStr">
        <is>
          <t>hora</t>
        </is>
      </c>
      <c r="E975" s="19" t="n">
        <v>1005</v>
      </c>
    </row>
    <row r="976">
      <c r="A976" s="19" t="n">
        <v>1006</v>
      </c>
      <c r="B976" s="19" t="inlineStr">
        <is>
          <t>Dominical promediado parcela</t>
        </is>
      </c>
      <c r="C976" s="19" t="inlineStr">
        <is>
          <t>hora</t>
        </is>
      </c>
      <c r="E976" s="19" t="n">
        <v>1006</v>
      </c>
    </row>
    <row r="977">
      <c r="A977" s="19" t="n">
        <v>1007</v>
      </c>
      <c r="B977" s="19" t="inlineStr">
        <is>
          <t>Festivo promediado parcela</t>
        </is>
      </c>
      <c r="C977" s="19" t="inlineStr">
        <is>
          <t>hora</t>
        </is>
      </c>
      <c r="E977" s="19" t="n">
        <v>1007</v>
      </c>
    </row>
    <row r="978">
      <c r="A978" s="19" t="n">
        <v>1008</v>
      </c>
      <c r="B978" s="19" t="inlineStr">
        <is>
          <t>Traslado de rechazo</t>
        </is>
      </c>
      <c r="C978" s="19" t="inlineStr">
        <is>
          <t>hora</t>
        </is>
      </c>
      <c r="E978" s="19" t="n">
        <v>1008</v>
      </c>
    </row>
    <row r="979">
      <c r="A979" s="19" t="n">
        <v>1009</v>
      </c>
      <c r="B979" s="19" t="inlineStr">
        <is>
          <t>Ayudante de control de maleza al dia</t>
        </is>
      </c>
      <c r="C979" s="19" t="inlineStr">
        <is>
          <t>hora</t>
        </is>
      </c>
      <c r="E979" s="19" t="n">
        <v>1009</v>
      </c>
    </row>
    <row r="980">
      <c r="A980" s="19" t="n">
        <v>1010</v>
      </c>
      <c r="B980" s="19" t="inlineStr">
        <is>
          <t>Saldo pendiente rodamiento</t>
        </is>
      </c>
      <c r="C980" s="19" t="inlineStr">
        <is>
          <t>dia</t>
        </is>
      </c>
      <c r="E980" s="19" t="n">
        <v>1010</v>
      </c>
    </row>
    <row r="981">
      <c r="A981" s="19" t="n">
        <v>1011</v>
      </c>
      <c r="B981" s="19" t="inlineStr">
        <is>
          <t>Reamarre y desvio</t>
        </is>
      </c>
      <c r="C981" s="19" t="inlineStr">
        <is>
          <t>hora</t>
        </is>
      </c>
      <c r="E981" s="19" t="n">
        <v>1011</v>
      </c>
    </row>
    <row r="982">
      <c r="A982" s="19" t="n">
        <v>1012</v>
      </c>
      <c r="B982" s="19" t="inlineStr">
        <is>
          <t>Saldo pendiente ayudante de fumigacion aerea</t>
        </is>
      </c>
      <c r="C982" s="19" t="inlineStr">
        <is>
          <t>hora</t>
        </is>
      </c>
      <c r="E982" s="19" t="n">
        <v>1012</v>
      </c>
    </row>
    <row r="983">
      <c r="A983" s="19" t="n">
        <v>1013</v>
      </c>
      <c r="B983" s="19" t="inlineStr">
        <is>
          <t>Aplicacion de herbicida al dia dominical</t>
        </is>
      </c>
      <c r="C983" s="19" t="inlineStr">
        <is>
          <t>hectarea</t>
        </is>
      </c>
      <c r="E983" s="19" t="n">
        <v>1013</v>
      </c>
    </row>
    <row r="984">
      <c r="A984" s="19" t="n">
        <v>1014</v>
      </c>
      <c r="B984" s="19" t="inlineStr">
        <is>
          <t>Corte promedio moko</t>
        </is>
      </c>
      <c r="C984" s="19" t="inlineStr">
        <is>
          <t>unidad</t>
        </is>
      </c>
      <c r="E984" s="19" t="n">
        <v>1014</v>
      </c>
    </row>
    <row r="985">
      <c r="A985" s="19" t="n">
        <v>1015</v>
      </c>
      <c r="B985" s="19" t="inlineStr">
        <is>
          <t>Corte de tallos</t>
        </is>
      </c>
      <c r="C985" s="19" t="inlineStr">
        <is>
          <t>hora</t>
        </is>
      </c>
      <c r="E985" s="19" t="n">
        <v>1015</v>
      </c>
    </row>
    <row r="986">
      <c r="A986" s="19" t="n">
        <v>1016</v>
      </c>
      <c r="B986" s="19" t="inlineStr">
        <is>
          <t>Cargue de fertilizante h.e.d.</t>
        </is>
      </c>
      <c r="C986" s="19" t="inlineStr">
        <is>
          <t>tonelada</t>
        </is>
      </c>
      <c r="E986" s="19" t="n">
        <v>1016</v>
      </c>
    </row>
    <row r="987">
      <c r="A987" s="19" t="n">
        <v>1017</v>
      </c>
      <c r="B987" s="19" t="inlineStr">
        <is>
          <t>Resiembra de palma</t>
        </is>
      </c>
      <c r="C987" s="19" t="inlineStr">
        <is>
          <t>hora</t>
        </is>
      </c>
      <c r="E987" s="19" t="n">
        <v>1017</v>
      </c>
    </row>
    <row r="988">
      <c r="A988" s="19" t="n">
        <v>1018</v>
      </c>
      <c r="B988" s="19" t="inlineStr">
        <is>
          <t>Ayudante de fumigacion aerea festivo</t>
        </is>
      </c>
      <c r="C988" s="19" t="inlineStr">
        <is>
          <t>hora</t>
        </is>
      </c>
      <c r="E988" s="19" t="n">
        <v>1018</v>
      </c>
    </row>
    <row r="989">
      <c r="A989" s="19" t="n">
        <v>1019</v>
      </c>
      <c r="B989" s="19" t="inlineStr">
        <is>
          <t>Corte de tallos</t>
        </is>
      </c>
      <c r="C989" s="19" t="inlineStr">
        <is>
          <t>hora</t>
        </is>
      </c>
      <c r="E989" s="19" t="n">
        <v>1019</v>
      </c>
    </row>
    <row r="990">
      <c r="A990" s="19" t="n">
        <v>1020</v>
      </c>
      <c r="B990" s="19" t="inlineStr">
        <is>
          <t>Arreglo de chanelas</t>
        </is>
      </c>
      <c r="C990" s="19" t="inlineStr">
        <is>
          <t>hora</t>
        </is>
      </c>
      <c r="E990" s="19" t="n">
        <v>1020</v>
      </c>
    </row>
    <row r="991">
      <c r="A991" s="19" t="n">
        <v>1021</v>
      </c>
      <c r="B991" s="19" t="inlineStr">
        <is>
          <t>Auxilio de alimentacion El Refugio</t>
        </is>
      </c>
      <c r="C991" s="19" t="inlineStr">
        <is>
          <t>dia</t>
        </is>
      </c>
      <c r="E991" s="19" t="n">
        <v>1021</v>
      </c>
    </row>
    <row r="992">
      <c r="A992" s="19" t="n">
        <v>1022</v>
      </c>
      <c r="B992" s="19" t="inlineStr">
        <is>
          <t>Dominical promediado adm El Refugio</t>
        </is>
      </c>
      <c r="C992" s="19" t="inlineStr">
        <is>
          <t>dia</t>
        </is>
      </c>
      <c r="E992" s="19" t="n">
        <v>1022</v>
      </c>
    </row>
    <row r="993">
      <c r="A993" s="19" t="n">
        <v>1023</v>
      </c>
      <c r="B993" s="19" t="inlineStr">
        <is>
          <t>Festivo promediado adm Maria Laura</t>
        </is>
      </c>
      <c r="C993" s="19" t="inlineStr">
        <is>
          <t>dia</t>
        </is>
      </c>
      <c r="E993" s="19" t="n">
        <v>1023</v>
      </c>
    </row>
    <row r="994">
      <c r="A994" s="19" t="n">
        <v>1024</v>
      </c>
      <c r="B994" s="19" t="inlineStr">
        <is>
          <t>Pintada de garruchas</t>
        </is>
      </c>
      <c r="C994" s="19" t="inlineStr">
        <is>
          <t>hora</t>
        </is>
      </c>
      <c r="E994" s="19" t="n">
        <v>1024</v>
      </c>
    </row>
    <row r="995">
      <c r="A995" s="19" t="n">
        <v>1025</v>
      </c>
      <c r="B995" s="19" t="inlineStr">
        <is>
          <t>Ayudante de fumigacion aerea dominical</t>
        </is>
      </c>
      <c r="C995" s="19" t="inlineStr">
        <is>
          <t>hora</t>
        </is>
      </c>
      <c r="E995" s="19" t="n">
        <v>1025</v>
      </c>
    </row>
    <row r="996">
      <c r="A996" s="19" t="n">
        <v>1026</v>
      </c>
      <c r="B996" s="19" t="inlineStr">
        <is>
          <t>Fertilizacion El Habra</t>
        </is>
      </c>
      <c r="C996" s="19" t="inlineStr">
        <is>
          <t>hora</t>
        </is>
      </c>
      <c r="E996" s="19" t="n">
        <v>1026</v>
      </c>
    </row>
    <row r="997">
      <c r="A997" s="19" t="n">
        <v>1027</v>
      </c>
      <c r="B997" s="19" t="inlineStr">
        <is>
          <t>Colocacion de carpa moko</t>
        </is>
      </c>
      <c r="C997" s="19" t="inlineStr">
        <is>
          <t>hora</t>
        </is>
      </c>
      <c r="E997" s="19" t="n">
        <v>1027</v>
      </c>
    </row>
    <row r="998">
      <c r="A998" s="19" t="n">
        <v>1028</v>
      </c>
      <c r="B998" s="19" t="inlineStr">
        <is>
          <t>Control de maleza moko</t>
        </is>
      </c>
      <c r="C998" s="19" t="inlineStr">
        <is>
          <t>hora</t>
        </is>
      </c>
      <c r="E998" s="19" t="n">
        <v>1028</v>
      </c>
    </row>
    <row r="999">
      <c r="A999" s="19" t="n">
        <v>1029</v>
      </c>
      <c r="B999" s="19" t="inlineStr">
        <is>
          <t>Deshoje moko al dia</t>
        </is>
      </c>
      <c r="C999" s="19" t="inlineStr">
        <is>
          <t>hora</t>
        </is>
      </c>
      <c r="E999" s="19" t="n">
        <v>1029</v>
      </c>
    </row>
    <row r="1000">
      <c r="A1000" s="19" t="n">
        <v>1030</v>
      </c>
      <c r="B1000" s="19" t="inlineStr">
        <is>
          <t>Mantenimiento de remolque</t>
        </is>
      </c>
      <c r="C1000" s="19" t="inlineStr">
        <is>
          <t>hora</t>
        </is>
      </c>
      <c r="E1000" s="19" t="n">
        <v>1030</v>
      </c>
    </row>
    <row r="1001">
      <c r="A1001" s="19" t="n">
        <v>1031</v>
      </c>
      <c r="B1001" s="19" t="inlineStr">
        <is>
          <t>Amarre al dia El Refugio</t>
        </is>
      </c>
      <c r="C1001" s="19" t="inlineStr">
        <is>
          <t>hora</t>
        </is>
      </c>
      <c r="E1001" s="19" t="n">
        <v>1031</v>
      </c>
    </row>
    <row r="1002">
      <c r="A1002" s="19" t="n">
        <v>1032</v>
      </c>
      <c r="B1002" s="19" t="inlineStr">
        <is>
          <t>Corte promedio moko festivo</t>
        </is>
      </c>
      <c r="C1002" s="19" t="inlineStr">
        <is>
          <t>unidad</t>
        </is>
      </c>
      <c r="E1002" s="19" t="n">
        <v>1032</v>
      </c>
    </row>
    <row r="1003">
      <c r="A1003" s="19" t="n">
        <v>1033</v>
      </c>
      <c r="B1003" s="19" t="inlineStr">
        <is>
          <t>Mantenimiento de parcela</t>
        </is>
      </c>
      <c r="C1003" s="19" t="inlineStr">
        <is>
          <t>hora</t>
        </is>
      </c>
      <c r="E1003" s="19" t="n">
        <v>1033</v>
      </c>
    </row>
    <row r="1004">
      <c r="A1004" s="19" t="n">
        <v>1034</v>
      </c>
      <c r="B1004" s="19" t="inlineStr">
        <is>
          <t>Bonificacion por cajas El Refugio</t>
        </is>
      </c>
      <c r="C1004" s="19" t="inlineStr">
        <is>
          <t>caja</t>
        </is>
      </c>
      <c r="E1004" s="19" t="n">
        <v>1034</v>
      </c>
    </row>
    <row r="1005">
      <c r="A1005" s="19" t="n">
        <v>1035</v>
      </c>
      <c r="B1005" s="19" t="inlineStr">
        <is>
          <t>Festivo promediado adm El Refugio</t>
        </is>
      </c>
      <c r="C1005" s="19" t="inlineStr">
        <is>
          <t>dia</t>
        </is>
      </c>
      <c r="E1005" s="19" t="n">
        <v>1035</v>
      </c>
    </row>
    <row r="1006">
      <c r="A1006" s="19" t="n">
        <v>1036</v>
      </c>
      <c r="B1006" s="19" t="inlineStr">
        <is>
          <t>Arreglo de trincho</t>
        </is>
      </c>
      <c r="C1006" s="19" t="inlineStr">
        <is>
          <t>hora</t>
        </is>
      </c>
      <c r="E1006" s="19" t="n">
        <v>1036</v>
      </c>
    </row>
    <row r="1007">
      <c r="A1007" s="19" t="n">
        <v>1037</v>
      </c>
      <c r="B1007" s="19" t="inlineStr">
        <is>
          <t>Cargue de tierra para Don Gaspar</t>
        </is>
      </c>
      <c r="C1007" s="19" t="inlineStr">
        <is>
          <t>hora</t>
        </is>
      </c>
      <c r="E1007" s="19" t="n">
        <v>1037</v>
      </c>
    </row>
    <row r="1008">
      <c r="A1008" s="19" t="n">
        <v>1038</v>
      </c>
      <c r="B1008" s="19" t="inlineStr">
        <is>
          <t>Traslado de material moko</t>
        </is>
      </c>
      <c r="C1008" s="19" t="inlineStr">
        <is>
          <t>hora</t>
        </is>
      </c>
      <c r="E1008" s="19" t="n">
        <v>1038</v>
      </c>
    </row>
    <row r="1009">
      <c r="A1009" s="19" t="n">
        <v>1039</v>
      </c>
      <c r="B1009" s="19" t="inlineStr">
        <is>
          <t>Traslado de material para vivero</t>
        </is>
      </c>
      <c r="C1009" s="19" t="inlineStr">
        <is>
          <t>hora</t>
        </is>
      </c>
      <c r="E1009" s="19" t="n">
        <v>1039</v>
      </c>
    </row>
    <row r="1010">
      <c r="A1010" s="19" t="n">
        <v>1040</v>
      </c>
      <c r="B1010" s="19" t="inlineStr">
        <is>
          <t>Construccion de cerca moko</t>
        </is>
      </c>
      <c r="C1010" s="19" t="inlineStr">
        <is>
          <t>hora</t>
        </is>
      </c>
      <c r="E1010" s="19" t="n">
        <v>1040</v>
      </c>
    </row>
    <row r="1011">
      <c r="A1011" s="19" t="n">
        <v>1041</v>
      </c>
      <c r="B1011" s="19" t="inlineStr">
        <is>
          <t>Deshoje moko</t>
        </is>
      </c>
      <c r="C1011" s="19" t="inlineStr">
        <is>
          <t>hectarea</t>
        </is>
      </c>
      <c r="E1011" s="19" t="n">
        <v>1041</v>
      </c>
    </row>
    <row r="1012">
      <c r="A1012" s="19" t="n">
        <v>1042</v>
      </c>
      <c r="B1012" s="19" t="inlineStr">
        <is>
          <t>Transbordo de cajas h.e.d.</t>
        </is>
      </c>
      <c r="C1012" s="19" t="inlineStr">
        <is>
          <t>hora</t>
        </is>
      </c>
      <c r="E1012" s="19" t="n">
        <v>1042</v>
      </c>
    </row>
    <row r="1013">
      <c r="A1013" s="19" t="n">
        <v>1043</v>
      </c>
      <c r="B1013" s="19" t="inlineStr">
        <is>
          <t>Colocacion de pase cola</t>
        </is>
      </c>
      <c r="C1013" s="19" t="inlineStr">
        <is>
          <t>hora</t>
        </is>
      </c>
      <c r="E1013" s="19" t="n">
        <v>1043</v>
      </c>
    </row>
    <row r="1014">
      <c r="A1014" s="19" t="n">
        <v>1044</v>
      </c>
      <c r="B1014" s="19" t="inlineStr">
        <is>
          <t>Mantenimiento de cerca moko</t>
        </is>
      </c>
      <c r="C1014" s="19" t="inlineStr">
        <is>
          <t>hora</t>
        </is>
      </c>
      <c r="E1014" s="19" t="n">
        <v>1044</v>
      </c>
    </row>
    <row r="1015">
      <c r="A1015" s="19" t="n">
        <v>1045</v>
      </c>
      <c r="B1015" s="19" t="inlineStr">
        <is>
          <t>Alineacion en vivero</t>
        </is>
      </c>
      <c r="C1015" s="19" t="inlineStr">
        <is>
          <t>hora</t>
        </is>
      </c>
      <c r="E1015" s="19" t="n">
        <v>1045</v>
      </c>
    </row>
    <row r="1016">
      <c r="A1016" s="19" t="n">
        <v>1046</v>
      </c>
      <c r="B1016" s="19" t="inlineStr">
        <is>
          <t>Colocacion de techo y piso vivero</t>
        </is>
      </c>
      <c r="C1016" s="19" t="inlineStr">
        <is>
          <t>hora</t>
        </is>
      </c>
      <c r="E1016" s="19" t="n">
        <v>1046</v>
      </c>
    </row>
    <row r="1017">
      <c r="A1017" s="19" t="n">
        <v>1047</v>
      </c>
      <c r="B1017" s="19" t="inlineStr">
        <is>
          <t>Preparacion de material vivero</t>
        </is>
      </c>
      <c r="C1017" s="19" t="inlineStr">
        <is>
          <t>hora</t>
        </is>
      </c>
      <c r="E1017" s="19" t="n">
        <v>1047</v>
      </c>
    </row>
    <row r="1018">
      <c r="A1018" s="19" t="n">
        <v>1048</v>
      </c>
      <c r="B1018" s="19" t="inlineStr">
        <is>
          <t>Transporte de semillas vivero</t>
        </is>
      </c>
      <c r="C1018" s="19" t="inlineStr">
        <is>
          <t>hora</t>
        </is>
      </c>
      <c r="E1018" s="19" t="n">
        <v>1048</v>
      </c>
    </row>
    <row r="1019">
      <c r="A1019" s="19" t="n">
        <v>1049</v>
      </c>
      <c r="B1019" s="19" t="inlineStr">
        <is>
          <t>Desflore e identificacion al dia festivo</t>
        </is>
      </c>
      <c r="C1019" s="19" t="inlineStr">
        <is>
          <t>hora</t>
        </is>
      </c>
      <c r="E1019" s="19" t="n">
        <v>1049</v>
      </c>
    </row>
    <row r="1020">
      <c r="A1020" s="19" t="n">
        <v>1050</v>
      </c>
      <c r="B1020" s="19" t="inlineStr">
        <is>
          <t>Deshoje moko al dia festivo</t>
        </is>
      </c>
      <c r="C1020" s="19" t="inlineStr">
        <is>
          <t>hora</t>
        </is>
      </c>
      <c r="E1020" s="19" t="n">
        <v>1050</v>
      </c>
    </row>
    <row r="1021">
      <c r="A1021" s="19" t="n">
        <v>1051</v>
      </c>
      <c r="B1021" s="19" t="inlineStr">
        <is>
          <t>Apertura de bolsas de campo al dia</t>
        </is>
      </c>
      <c r="C1021" s="19" t="inlineStr">
        <is>
          <t>hora</t>
        </is>
      </c>
      <c r="E1021" s="19" t="n">
        <v>1051</v>
      </c>
    </row>
    <row r="1022">
      <c r="A1022" s="19" t="n">
        <v>1052</v>
      </c>
      <c r="B1022" s="19" t="inlineStr">
        <is>
          <t>Recoleccion de semillas vivero</t>
        </is>
      </c>
      <c r="C1022" s="19" t="inlineStr">
        <is>
          <t>hora</t>
        </is>
      </c>
      <c r="E1022" s="19" t="n">
        <v>1052</v>
      </c>
    </row>
    <row r="1023">
      <c r="A1023" s="19" t="n">
        <v>1053</v>
      </c>
      <c r="B1023" s="19" t="inlineStr">
        <is>
          <t>Siembra de vivero</t>
        </is>
      </c>
      <c r="C1023" s="19" t="inlineStr">
        <is>
          <t>unidad</t>
        </is>
      </c>
      <c r="E1023" s="19" t="n">
        <v>1053</v>
      </c>
    </row>
    <row r="1024">
      <c r="A1024" s="19" t="n">
        <v>1054</v>
      </c>
      <c r="B1024" s="19" t="inlineStr">
        <is>
          <t>Saldo pendiente drenajes</t>
        </is>
      </c>
      <c r="C1024" s="19" t="inlineStr">
        <is>
          <t>hora</t>
        </is>
      </c>
      <c r="E1024" s="19" t="n">
        <v>1054</v>
      </c>
    </row>
    <row r="1025">
      <c r="A1025" s="19" t="n">
        <v>1055</v>
      </c>
      <c r="B1025" s="19" t="inlineStr">
        <is>
          <t>Clasificacion de semillas</t>
        </is>
      </c>
      <c r="C1025" s="19" t="inlineStr">
        <is>
          <t>hora</t>
        </is>
      </c>
      <c r="E1025" s="19" t="n">
        <v>1055</v>
      </c>
    </row>
    <row r="1026">
      <c r="A1026" s="19" t="n">
        <v>1056</v>
      </c>
      <c r="B1026" s="19" t="inlineStr">
        <is>
          <t>Sacada de fruta pulpa crema</t>
        </is>
      </c>
      <c r="C1026" s="19" t="inlineStr">
        <is>
          <t>hora</t>
        </is>
      </c>
      <c r="E1026" s="19" t="n">
        <v>1056</v>
      </c>
    </row>
    <row r="1027">
      <c r="A1027" s="19" t="n">
        <v>1057</v>
      </c>
      <c r="B1027" s="19" t="inlineStr">
        <is>
          <t>Sanidad El Habra</t>
        </is>
      </c>
      <c r="C1027" s="19" t="inlineStr">
        <is>
          <t>hora</t>
        </is>
      </c>
      <c r="E1027" s="19" t="n">
        <v>1057</v>
      </c>
    </row>
    <row r="1028">
      <c r="A1028" s="19" t="n">
        <v>1058</v>
      </c>
      <c r="B1028" s="19" t="inlineStr">
        <is>
          <t>Mantenimiento de riego El Habra</t>
        </is>
      </c>
      <c r="C1028" s="19" t="inlineStr">
        <is>
          <t>hora</t>
        </is>
      </c>
      <c r="E1028" s="19" t="n">
        <v>1058</v>
      </c>
    </row>
    <row r="1029">
      <c r="A1029" s="19" t="n">
        <v>1059</v>
      </c>
      <c r="B1029" s="19" t="inlineStr">
        <is>
          <t>Bioseguridad dominical</t>
        </is>
      </c>
      <c r="C1029" s="19" t="inlineStr">
        <is>
          <t>hora</t>
        </is>
      </c>
      <c r="E1029" s="19" t="n">
        <v>1059</v>
      </c>
    </row>
    <row r="1030">
      <c r="A1030" s="19" t="n">
        <v>1060</v>
      </c>
      <c r="B1030" s="19" t="inlineStr">
        <is>
          <t>Limpia de canal El Habra</t>
        </is>
      </c>
      <c r="C1030" s="19" t="inlineStr">
        <is>
          <t>hora</t>
        </is>
      </c>
      <c r="E1030" s="19" t="n">
        <v>1060</v>
      </c>
    </row>
    <row r="1031">
      <c r="A1031" s="19" t="n">
        <v>1061</v>
      </c>
      <c r="B1031" s="19" t="inlineStr">
        <is>
          <t>Coordinador El Habra</t>
        </is>
      </c>
      <c r="C1031" s="19" t="inlineStr">
        <is>
          <t>hora</t>
        </is>
      </c>
      <c r="E1031" s="19" t="n">
        <v>1061</v>
      </c>
    </row>
    <row r="1032">
      <c r="A1032" s="19" t="n">
        <v>1062</v>
      </c>
      <c r="B1032" s="19" t="inlineStr">
        <is>
          <t>Control de insectos El Habra</t>
        </is>
      </c>
      <c r="C1032" s="19" t="inlineStr">
        <is>
          <t>hora</t>
        </is>
      </c>
      <c r="E1032" s="19" t="n">
        <v>1062</v>
      </c>
    </row>
    <row r="1033">
      <c r="A1033" s="19" t="n">
        <v>1063</v>
      </c>
      <c r="B1033" s="19" t="inlineStr">
        <is>
          <t>Conteo de racimos</t>
        </is>
      </c>
      <c r="C1033" s="19" t="inlineStr">
        <is>
          <t>hora</t>
        </is>
      </c>
      <c r="E1033" s="19" t="n">
        <v>1063</v>
      </c>
    </row>
    <row r="1034">
      <c r="A1034" s="19" t="n">
        <v>1064</v>
      </c>
      <c r="B1034" s="19" t="inlineStr">
        <is>
          <t>Limpia de canal palma al dia</t>
        </is>
      </c>
      <c r="C1034" s="19" t="inlineStr">
        <is>
          <t>hora</t>
        </is>
      </c>
      <c r="E1034" s="19" t="n">
        <v>1064</v>
      </c>
    </row>
    <row r="1035">
      <c r="A1035" s="19" t="n">
        <v>1065</v>
      </c>
      <c r="B1035" s="19" t="inlineStr">
        <is>
          <t>Ayudante de mecanico</t>
        </is>
      </c>
      <c r="C1035" s="19" t="inlineStr">
        <is>
          <t>hora</t>
        </is>
      </c>
      <c r="E1035" s="19" t="n">
        <v>1065</v>
      </c>
    </row>
    <row r="1036">
      <c r="A1036" s="19" t="n">
        <v>1066</v>
      </c>
      <c r="B1036" s="19" t="inlineStr">
        <is>
          <t>Bufalero</t>
        </is>
      </c>
      <c r="C1036" s="19" t="inlineStr">
        <is>
          <t>hora</t>
        </is>
      </c>
      <c r="E1036" s="19" t="n">
        <v>1066</v>
      </c>
    </row>
    <row r="1037">
      <c r="A1037" s="19" t="n">
        <v>1067</v>
      </c>
      <c r="B1037" s="19" t="inlineStr">
        <is>
          <t>Recuperacion de carton</t>
        </is>
      </c>
      <c r="C1037" s="19" t="inlineStr">
        <is>
          <t>hora</t>
        </is>
      </c>
      <c r="E1037" s="19" t="n">
        <v>1067</v>
      </c>
    </row>
    <row r="1038">
      <c r="A1038" s="19" t="n">
        <v>1068</v>
      </c>
      <c r="B1038" s="19" t="inlineStr">
        <is>
          <t>Celaduria El Habra</t>
        </is>
      </c>
      <c r="C1038" s="19" t="inlineStr">
        <is>
          <t>hora</t>
        </is>
      </c>
      <c r="E1038" s="19" t="n">
        <v>1068</v>
      </c>
    </row>
    <row r="1039">
      <c r="A1039" s="19" t="n">
        <v>1069</v>
      </c>
      <c r="B1039" s="19" t="inlineStr">
        <is>
          <t>Celaduria El Habra dominical</t>
        </is>
      </c>
      <c r="C1039" s="19" t="inlineStr">
        <is>
          <t>hora</t>
        </is>
      </c>
      <c r="E1039" s="19" t="n">
        <v>1069</v>
      </c>
    </row>
    <row r="1040">
      <c r="A1040" s="19" t="n">
        <v>1070</v>
      </c>
      <c r="B1040" s="19" t="inlineStr">
        <is>
          <t>Celaduria El Habra festivo</t>
        </is>
      </c>
      <c r="C1040" s="19" t="inlineStr">
        <is>
          <t>hora</t>
        </is>
      </c>
      <c r="E1040" s="19" t="n">
        <v>1070</v>
      </c>
    </row>
    <row r="1041">
      <c r="A1041" s="19" t="n">
        <v>1071</v>
      </c>
      <c r="B1041" s="19" t="inlineStr">
        <is>
          <t>Control de maleza al dia festivo</t>
        </is>
      </c>
      <c r="C1041" s="19" t="inlineStr">
        <is>
          <t>hora</t>
        </is>
      </c>
      <c r="E1041" s="19" t="n">
        <v>1071</v>
      </c>
    </row>
    <row r="1042">
      <c r="A1042" s="19" t="n">
        <v>1072</v>
      </c>
      <c r="B1042" s="19" t="inlineStr">
        <is>
          <t>Control de maleza moko al dia festivo</t>
        </is>
      </c>
      <c r="C1042" s="19" t="inlineStr">
        <is>
          <t>hora</t>
        </is>
      </c>
      <c r="E1042" s="19" t="n">
        <v>1072</v>
      </c>
    </row>
    <row r="1043">
      <c r="A1043" s="19" t="n">
        <v>1073</v>
      </c>
      <c r="B1043" s="19" t="inlineStr">
        <is>
          <t>Desmache con palin festivo</t>
        </is>
      </c>
      <c r="C1043" s="19" t="inlineStr">
        <is>
          <t>hectarea</t>
        </is>
      </c>
      <c r="E1043" s="19" t="n">
        <v>1073</v>
      </c>
    </row>
    <row r="1044">
      <c r="A1044" s="19" t="n">
        <v>1074</v>
      </c>
      <c r="B1044" s="19" t="inlineStr">
        <is>
          <t>Saldo pendiente licencia por luto</t>
        </is>
      </c>
      <c r="C1044" s="19" t="inlineStr">
        <is>
          <t>hora</t>
        </is>
      </c>
      <c r="E1044" s="19" t="n">
        <v>1074</v>
      </c>
    </row>
    <row r="1045">
      <c r="A1045" s="19" t="n">
        <v>1075</v>
      </c>
      <c r="B1045" s="19" t="inlineStr">
        <is>
          <t>Desbejuque moko al dia</t>
        </is>
      </c>
      <c r="C1045" s="19" t="inlineStr">
        <is>
          <t>hora</t>
        </is>
      </c>
      <c r="E1045" s="19" t="n">
        <v>1075</v>
      </c>
    </row>
    <row r="1046">
      <c r="A1046" s="19" t="n">
        <v>1076</v>
      </c>
      <c r="B1046" s="19" t="inlineStr">
        <is>
          <t>Capacitacion en inspeccion de fruta y almacen</t>
        </is>
      </c>
      <c r="C1046" s="19" t="inlineStr">
        <is>
          <t>hora</t>
        </is>
      </c>
      <c r="E1046" s="19" t="n">
        <v>1076</v>
      </c>
    </row>
    <row r="1047">
      <c r="A1047" s="19" t="n">
        <v>1077</v>
      </c>
      <c r="B1047" s="19" t="inlineStr">
        <is>
          <t>Auxilio de transporte aprendiz finca</t>
        </is>
      </c>
      <c r="C1047" s="19" t="inlineStr">
        <is>
          <t>dia</t>
        </is>
      </c>
      <c r="E1047" s="19" t="n">
        <v>1077</v>
      </c>
    </row>
    <row r="1048">
      <c r="A1048" s="19" t="n">
        <v>1078</v>
      </c>
      <c r="B1048" s="19" t="inlineStr">
        <is>
          <t>Reconstruccion de canal El Habra al dia</t>
        </is>
      </c>
      <c r="C1048" s="19" t="inlineStr">
        <is>
          <t>hora</t>
        </is>
      </c>
      <c r="E1048" s="19" t="n">
        <v>1078</v>
      </c>
    </row>
    <row r="1049">
      <c r="A1049" s="19" t="n">
        <v>1079</v>
      </c>
      <c r="B1049" s="19" t="inlineStr">
        <is>
          <t>Castreo El Habra</t>
        </is>
      </c>
      <c r="C1049" s="19" t="inlineStr">
        <is>
          <t>hora</t>
        </is>
      </c>
      <c r="E1049" s="19" t="n">
        <v>1079</v>
      </c>
    </row>
    <row r="1050">
      <c r="A1050" s="19" t="n">
        <v>1080</v>
      </c>
      <c r="B1050" s="19" t="inlineStr">
        <is>
          <t>Apoyo en cargue de fruta mula</t>
        </is>
      </c>
      <c r="C1050" s="19" t="inlineStr">
        <is>
          <t>tonelada</t>
        </is>
      </c>
      <c r="E1050" s="19" t="n">
        <v>1080</v>
      </c>
    </row>
    <row r="1051">
      <c r="A1051" s="19" t="n">
        <v>1081</v>
      </c>
      <c r="B1051" s="19" t="inlineStr">
        <is>
          <t>Peso de fruta palma</t>
        </is>
      </c>
      <c r="C1051" s="19" t="inlineStr">
        <is>
          <t>hora</t>
        </is>
      </c>
      <c r="E1051" s="19" t="n">
        <v>1081</v>
      </c>
    </row>
    <row r="1052">
      <c r="A1052" s="19" t="n">
        <v>1082</v>
      </c>
      <c r="B1052" s="19" t="inlineStr">
        <is>
          <t>Auxilio de alimentacion El Habra</t>
        </is>
      </c>
      <c r="C1052" s="19" t="inlineStr">
        <is>
          <t>dia</t>
        </is>
      </c>
      <c r="E1052" s="19" t="n">
        <v>1082</v>
      </c>
    </row>
    <row r="1053">
      <c r="A1053" s="19" t="n">
        <v>1083</v>
      </c>
      <c r="B1053" s="19" t="inlineStr">
        <is>
          <t>Bonificacion de riego</t>
        </is>
      </c>
      <c r="C1053" s="19" t="inlineStr">
        <is>
          <t>dia</t>
        </is>
      </c>
      <c r="E1053" s="19" t="n">
        <v>1083</v>
      </c>
    </row>
    <row r="1054">
      <c r="A1054" s="19" t="n">
        <v>1085</v>
      </c>
      <c r="B1054" s="19" t="inlineStr">
        <is>
          <t>Organizacion de fertilizantes</t>
        </is>
      </c>
      <c r="C1054" s="19" t="inlineStr">
        <is>
          <t>hora</t>
        </is>
      </c>
      <c r="E1054" s="19" t="n">
        <v>1085</v>
      </c>
    </row>
    <row r="1055">
      <c r="A1055" s="19" t="n">
        <v>1086</v>
      </c>
      <c r="B1055" s="19" t="inlineStr">
        <is>
          <t>Auxiliar de oficina</t>
        </is>
      </c>
      <c r="C1055" s="19" t="inlineStr">
        <is>
          <t>hora</t>
        </is>
      </c>
      <c r="E1055" s="19" t="n">
        <v>1086</v>
      </c>
    </row>
    <row r="1056">
      <c r="A1056" s="19" t="n">
        <v>1087</v>
      </c>
      <c r="B1056" s="19" t="inlineStr">
        <is>
          <t>Hechura de tulas de yumbolon</t>
        </is>
      </c>
      <c r="C1056" s="19" t="inlineStr">
        <is>
          <t>hora</t>
        </is>
      </c>
      <c r="E1056" s="19" t="n">
        <v>1087</v>
      </c>
    </row>
    <row r="1057">
      <c r="A1057" s="19" t="n">
        <v>1088</v>
      </c>
      <c r="B1057" s="19" t="inlineStr">
        <is>
          <t>Descargue de abono al dia</t>
        </is>
      </c>
      <c r="C1057" s="19" t="inlineStr">
        <is>
          <t>hora</t>
        </is>
      </c>
      <c r="E1057" s="19" t="n">
        <v>1088</v>
      </c>
    </row>
    <row r="1058">
      <c r="A1058" s="19" t="n">
        <v>1089</v>
      </c>
      <c r="B1058" s="19" t="inlineStr">
        <is>
          <t>Pintura El Refugio</t>
        </is>
      </c>
      <c r="C1058" s="19" t="inlineStr">
        <is>
          <t>hora</t>
        </is>
      </c>
      <c r="E1058" s="19" t="n">
        <v>1089</v>
      </c>
    </row>
    <row r="1059">
      <c r="A1059" s="19" t="n">
        <v>1090</v>
      </c>
      <c r="B1059" s="19" t="inlineStr">
        <is>
          <t>Acomodo de fruta mula</t>
        </is>
      </c>
      <c r="C1059" s="19" t="inlineStr">
        <is>
          <t>hora</t>
        </is>
      </c>
      <c r="E1059" s="19" t="n">
        <v>1090</v>
      </c>
    </row>
    <row r="1060">
      <c r="A1060" s="19" t="n">
        <v>1091</v>
      </c>
      <c r="B1060" s="19" t="inlineStr">
        <is>
          <t>Cosecha de palma al dia</t>
        </is>
      </c>
      <c r="C1060" s="19" t="inlineStr">
        <is>
          <t>hora</t>
        </is>
      </c>
      <c r="E1060" s="19" t="n">
        <v>1091</v>
      </c>
    </row>
    <row r="1061">
      <c r="A1061" s="19" t="n">
        <v>1092</v>
      </c>
      <c r="B1061" s="19" t="inlineStr">
        <is>
          <t>Transporte de plantas</t>
        </is>
      </c>
      <c r="C1061" s="19" t="inlineStr">
        <is>
          <t>hora</t>
        </is>
      </c>
      <c r="E1061" s="19" t="n">
        <v>1092</v>
      </c>
    </row>
    <row r="1062">
      <c r="A1062" s="19" t="n">
        <v>1093</v>
      </c>
      <c r="B1062" s="19" t="inlineStr">
        <is>
          <t>Desbejuque al dia El Habra</t>
        </is>
      </c>
      <c r="C1062" s="19" t="inlineStr">
        <is>
          <t>hora</t>
        </is>
      </c>
      <c r="E1062" s="19" t="n">
        <v>1093</v>
      </c>
    </row>
    <row r="1063">
      <c r="A1063" s="19" t="n">
        <v>1094</v>
      </c>
      <c r="B1063" s="19" t="inlineStr">
        <is>
          <t>Limpia de ronda El Habra</t>
        </is>
      </c>
      <c r="C1063" s="19" t="inlineStr">
        <is>
          <t>hora</t>
        </is>
      </c>
      <c r="E1063" s="19" t="n">
        <v>1094</v>
      </c>
    </row>
    <row r="1064">
      <c r="A1064" s="19" t="n">
        <v>1095</v>
      </c>
      <c r="B1064" s="19" t="inlineStr">
        <is>
          <t>Gestion de calidad</t>
        </is>
      </c>
      <c r="C1064" s="19" t="inlineStr">
        <is>
          <t>hora</t>
        </is>
      </c>
      <c r="E1064" s="19" t="n">
        <v>1095</v>
      </c>
    </row>
    <row r="1065">
      <c r="A1065" s="19" t="n">
        <v>1096</v>
      </c>
      <c r="B1065" s="19" t="inlineStr">
        <is>
          <t>Coordinador de siembra</t>
        </is>
      </c>
      <c r="C1065" s="19" t="inlineStr">
        <is>
          <t>hora</t>
        </is>
      </c>
      <c r="E1065" s="19" t="n">
        <v>1096</v>
      </c>
    </row>
    <row r="1066">
      <c r="A1066" s="19" t="n">
        <v>1097</v>
      </c>
      <c r="B1066" s="19" t="inlineStr">
        <is>
          <t>Sanidad vegetal</t>
        </is>
      </c>
      <c r="C1066" s="19" t="inlineStr">
        <is>
          <t>hora</t>
        </is>
      </c>
      <c r="E1066" s="19" t="n">
        <v>1097</v>
      </c>
    </row>
    <row r="1067">
      <c r="A1067" s="19" t="n">
        <v>1098</v>
      </c>
      <c r="B1067" s="19" t="inlineStr">
        <is>
          <t>Cargue de madera</t>
        </is>
      </c>
      <c r="C1067" s="19" t="inlineStr">
        <is>
          <t>hora</t>
        </is>
      </c>
      <c r="E1067" s="19" t="n">
        <v>1098</v>
      </c>
    </row>
    <row r="1068">
      <c r="A1068" s="19" t="n">
        <v>1099</v>
      </c>
      <c r="B1068" s="19" t="inlineStr">
        <is>
          <t>Descargue de fertilizante al dia dominical</t>
        </is>
      </c>
      <c r="C1068" s="19" t="inlineStr">
        <is>
          <t>tonelada</t>
        </is>
      </c>
      <c r="E1068" s="19" t="n">
        <v>1099</v>
      </c>
    </row>
    <row r="1069">
      <c r="A1069" s="19" t="n">
        <v>1100</v>
      </c>
      <c r="B1069" s="19" t="inlineStr">
        <is>
          <t>Limpia de linderos moko al dia</t>
        </is>
      </c>
      <c r="C1069" s="19" t="inlineStr">
        <is>
          <t>hora</t>
        </is>
      </c>
      <c r="E1069" s="19" t="n">
        <v>1100</v>
      </c>
    </row>
    <row r="1070">
      <c r="A1070" s="19" t="n">
        <v>1101</v>
      </c>
      <c r="B1070" s="19" t="inlineStr">
        <is>
          <t>Pintura Maria Laura</t>
        </is>
      </c>
      <c r="C1070" s="19" t="inlineStr">
        <is>
          <t>hora</t>
        </is>
      </c>
      <c r="E1070" s="19" t="n">
        <v>1101</v>
      </c>
    </row>
    <row r="1071">
      <c r="A1071" s="19" t="n">
        <v>1102</v>
      </c>
      <c r="B1071" s="19" t="inlineStr">
        <is>
          <t>Cargue de fruta mula festivo</t>
        </is>
      </c>
      <c r="C1071" s="19" t="inlineStr">
        <is>
          <t>tonelada</t>
        </is>
      </c>
      <c r="E1071" s="19" t="n">
        <v>1102</v>
      </c>
    </row>
    <row r="1072">
      <c r="A1072" s="19" t="n">
        <v>1103</v>
      </c>
      <c r="B1072" s="19" t="inlineStr">
        <is>
          <t>Plateo con machete El Habra al dia</t>
        </is>
      </c>
      <c r="C1072" s="19" t="inlineStr">
        <is>
          <t>hora</t>
        </is>
      </c>
      <c r="E1072" s="19" t="n">
        <v>1103</v>
      </c>
    </row>
    <row r="1073">
      <c r="A1073" s="19" t="n">
        <v>1104</v>
      </c>
      <c r="B1073" s="19" t="inlineStr">
        <is>
          <t>Plateo con guadaña El Habra al dia</t>
        </is>
      </c>
      <c r="C1073" s="19" t="inlineStr">
        <is>
          <t>hora</t>
        </is>
      </c>
      <c r="E1073" s="19" t="n">
        <v>1104</v>
      </c>
    </row>
    <row r="1074">
      <c r="A1074" s="19" t="n">
        <v>1105</v>
      </c>
      <c r="B1074" s="19" t="inlineStr">
        <is>
          <t>Seleccion de madera</t>
        </is>
      </c>
      <c r="C1074" s="19" t="inlineStr">
        <is>
          <t>hora</t>
        </is>
      </c>
      <c r="E1074" s="19" t="n">
        <v>1105</v>
      </c>
    </row>
    <row r="1075">
      <c r="A1075" s="19" t="n">
        <v>1106</v>
      </c>
      <c r="B1075" s="19" t="inlineStr">
        <is>
          <t>Plateo quimico El Habra al dia</t>
        </is>
      </c>
      <c r="C1075" s="19" t="inlineStr">
        <is>
          <t>hora</t>
        </is>
      </c>
      <c r="E1075" s="19" t="n">
        <v>1106</v>
      </c>
    </row>
    <row r="1076">
      <c r="A1076" s="19" t="n">
        <v>1107</v>
      </c>
      <c r="B1076" s="19" t="inlineStr">
        <is>
          <t>Mantenimiento de gondula</t>
        </is>
      </c>
      <c r="C1076" s="19" t="inlineStr">
        <is>
          <t>hora</t>
        </is>
      </c>
      <c r="E1076" s="19" t="n">
        <v>1107</v>
      </c>
    </row>
    <row r="1077">
      <c r="A1077" s="19" t="n">
        <v>1108</v>
      </c>
      <c r="B1077" s="19" t="inlineStr">
        <is>
          <t>Desague palma festivo</t>
        </is>
      </c>
      <c r="C1077" s="19" t="inlineStr">
        <is>
          <t>hora</t>
        </is>
      </c>
      <c r="E1077" s="19" t="n">
        <v>1108</v>
      </c>
    </row>
    <row r="1078">
      <c r="A1078" s="19" t="n">
        <v>1109</v>
      </c>
      <c r="B1078" s="19" t="inlineStr">
        <is>
          <t>Desague palma</t>
        </is>
      </c>
      <c r="C1078" s="19" t="inlineStr">
        <is>
          <t>hora</t>
        </is>
      </c>
      <c r="E1078" s="19" t="n">
        <v>1109</v>
      </c>
    </row>
    <row r="1079">
      <c r="A1079" s="19" t="n">
        <v>1110</v>
      </c>
      <c r="B1079" s="19" t="inlineStr">
        <is>
          <t>Auxilio de alimentacion dron</t>
        </is>
      </c>
      <c r="C1079" s="19" t="inlineStr">
        <is>
          <t>dia</t>
        </is>
      </c>
      <c r="E1079" s="19" t="n">
        <v>1110</v>
      </c>
    </row>
    <row r="1080">
      <c r="A1080" s="19" t="n">
        <v>1111</v>
      </c>
      <c r="B1080" s="19" t="inlineStr">
        <is>
          <t>Capataz de cosecha.</t>
        </is>
      </c>
      <c r="C1080" s="19" t="inlineStr">
        <is>
          <t>hora</t>
        </is>
      </c>
      <c r="E1080" s="19" t="n">
        <v>1111</v>
      </c>
    </row>
    <row r="1081">
      <c r="A1081" s="19" t="n">
        <v>1112</v>
      </c>
      <c r="B1081" s="19" t="inlineStr">
        <is>
          <t>Recoleccion de cables</t>
        </is>
      </c>
      <c r="C1081" s="19" t="inlineStr">
        <is>
          <t>hora</t>
        </is>
      </c>
      <c r="E1081" s="19" t="n">
        <v>1112</v>
      </c>
    </row>
    <row r="1082">
      <c r="A1082" s="19" t="n">
        <v>1113</v>
      </c>
      <c r="B1082" s="19" t="inlineStr">
        <is>
          <t>Limpia de localidades</t>
        </is>
      </c>
      <c r="C1082" s="19" t="inlineStr">
        <is>
          <t>hora</t>
        </is>
      </c>
      <c r="E1082" s="19" t="n">
        <v>1113</v>
      </c>
    </row>
    <row r="1083">
      <c r="A1083" s="19" t="n">
        <v>1114</v>
      </c>
      <c r="B1083" s="19" t="inlineStr">
        <is>
          <t>Mantenimiento chapaleta</t>
        </is>
      </c>
      <c r="C1083" s="19" t="inlineStr">
        <is>
          <t>hora</t>
        </is>
      </c>
      <c r="E1083" s="19" t="n">
        <v>1114</v>
      </c>
    </row>
    <row r="1084">
      <c r="A1084" s="19" t="n">
        <v>1115</v>
      </c>
      <c r="B1084" s="19" t="inlineStr">
        <is>
          <t>Auxiliar de oficina festivo</t>
        </is>
      </c>
      <c r="C1084" s="19" t="inlineStr">
        <is>
          <t>hora</t>
        </is>
      </c>
      <c r="E1084" s="19" t="n">
        <v>1115</v>
      </c>
    </row>
    <row r="1085">
      <c r="A1085" s="19" t="n">
        <v>1116</v>
      </c>
      <c r="B1085" s="19" t="inlineStr">
        <is>
          <t>Gestion de calidad festivo</t>
        </is>
      </c>
      <c r="C1085" s="19" t="inlineStr">
        <is>
          <t>hora</t>
        </is>
      </c>
      <c r="E1085" s="19" t="n">
        <v>1116</v>
      </c>
    </row>
    <row r="1086">
      <c r="A1086" s="19" t="n">
        <v>1117</v>
      </c>
      <c r="B1086" s="19" t="inlineStr">
        <is>
          <t>Sanidad vegetal El Habra</t>
        </is>
      </c>
      <c r="C1086" s="19" t="inlineStr">
        <is>
          <t>hora</t>
        </is>
      </c>
      <c r="E1086" s="19" t="n">
        <v>1117</v>
      </c>
    </row>
    <row r="1087">
      <c r="A1087" s="19" t="n">
        <v>1118</v>
      </c>
      <c r="B1087" s="19" t="inlineStr">
        <is>
          <t>Lavada de bolsas Don Gaspar dominical</t>
        </is>
      </c>
      <c r="C1087" s="19" t="inlineStr">
        <is>
          <t>hora</t>
        </is>
      </c>
      <c r="E1087" s="19" t="n">
        <v>1118</v>
      </c>
    </row>
    <row r="1088">
      <c r="A1088" s="19" t="n">
        <v>1119</v>
      </c>
      <c r="B1088" s="19" t="inlineStr">
        <is>
          <t>Pegada de yumbolon</t>
        </is>
      </c>
      <c r="C1088" s="19" t="inlineStr">
        <is>
          <t>hora</t>
        </is>
      </c>
      <c r="E1088" s="19" t="n">
        <v>1119</v>
      </c>
    </row>
    <row r="1089">
      <c r="A1089" s="19" t="n">
        <v>1120</v>
      </c>
      <c r="B1089" s="19" t="inlineStr">
        <is>
          <t>Retiro de madera</t>
        </is>
      </c>
      <c r="C1089" s="19" t="inlineStr">
        <is>
          <t>hora</t>
        </is>
      </c>
      <c r="E1089" s="19" t="n">
        <v>1120</v>
      </c>
    </row>
    <row r="1090">
      <c r="A1090" s="19" t="n">
        <v>1121</v>
      </c>
      <c r="B1090" s="19" t="inlineStr">
        <is>
          <t>Retiro de madera festivo</t>
        </is>
      </c>
      <c r="C1090" s="19" t="inlineStr">
        <is>
          <t>hora</t>
        </is>
      </c>
      <c r="E1090" s="19" t="n">
        <v>1121</v>
      </c>
    </row>
    <row r="1091">
      <c r="A1091" s="19" t="n">
        <v>1122</v>
      </c>
      <c r="B1091" s="19" t="inlineStr">
        <is>
          <t>Botada de vastago festivo</t>
        </is>
      </c>
      <c r="C1091" s="19" t="inlineStr">
        <is>
          <t>unidad</t>
        </is>
      </c>
      <c r="E1091" s="19" t="n">
        <v>1122</v>
      </c>
    </row>
    <row r="1092">
      <c r="A1092" s="19" t="n">
        <v>1123</v>
      </c>
      <c r="B1092" s="19" t="inlineStr">
        <is>
          <t>Control de maleza empacadora</t>
        </is>
      </c>
      <c r="C1092" s="19" t="inlineStr">
        <is>
          <t>hectarea</t>
        </is>
      </c>
      <c r="E1092" s="19" t="n">
        <v>1123</v>
      </c>
    </row>
    <row r="1093">
      <c r="A1093" s="19" t="n">
        <v>1124</v>
      </c>
      <c r="B1093" s="19" t="inlineStr">
        <is>
          <t>Saldo pendiente viaje tractomula</t>
        </is>
      </c>
      <c r="C1093" s="19" t="inlineStr">
        <is>
          <t>dia</t>
        </is>
      </c>
      <c r="E1093" s="19" t="n">
        <v>1124</v>
      </c>
    </row>
    <row r="1094">
      <c r="A1094" s="19" t="n">
        <v>1125</v>
      </c>
      <c r="B1094" s="19" t="inlineStr">
        <is>
          <t>Retiro de madera Don Gaspar</t>
        </is>
      </c>
      <c r="C1094" s="19" t="inlineStr">
        <is>
          <t>hora</t>
        </is>
      </c>
      <c r="E1094" s="19" t="n">
        <v>1125</v>
      </c>
    </row>
    <row r="1095">
      <c r="A1095" s="19" t="n">
        <v>1126</v>
      </c>
      <c r="B1095" s="19" t="inlineStr">
        <is>
          <t>Limpia de linderos El Habra</t>
        </is>
      </c>
      <c r="C1095" s="19" t="inlineStr">
        <is>
          <t>hora</t>
        </is>
      </c>
      <c r="E1095" s="19" t="n">
        <v>1126</v>
      </c>
    </row>
    <row r="1096">
      <c r="A1096" s="19" t="n">
        <v>1127</v>
      </c>
      <c r="B1096" s="19" t="inlineStr">
        <is>
          <t>Retiro de madera Don Gaspar festivo</t>
        </is>
      </c>
      <c r="C1096" s="19" t="inlineStr">
        <is>
          <t>hora</t>
        </is>
      </c>
      <c r="E1096" s="19" t="n">
        <v>1127</v>
      </c>
    </row>
    <row r="1097">
      <c r="A1097" s="19" t="n">
        <v>1128</v>
      </c>
      <c r="B1097" s="19" t="inlineStr">
        <is>
          <t>Sacada de fruta suelta</t>
        </is>
      </c>
      <c r="C1097" s="19" t="inlineStr">
        <is>
          <t>hora</t>
        </is>
      </c>
      <c r="E1097" s="19" t="n">
        <v>1128</v>
      </c>
    </row>
    <row r="1098">
      <c r="A1098" s="19" t="n">
        <v>1129</v>
      </c>
      <c r="B1098" s="19" t="inlineStr">
        <is>
          <t>Recogida en acopio al dia</t>
        </is>
      </c>
      <c r="C1098" s="19" t="inlineStr">
        <is>
          <t>hora</t>
        </is>
      </c>
      <c r="E1098" s="19" t="n">
        <v>1129</v>
      </c>
    </row>
    <row r="1099">
      <c r="A1099" s="19" t="n">
        <v>1130</v>
      </c>
      <c r="B1099" s="19" t="inlineStr">
        <is>
          <t>Cargue de fruta mula al dia</t>
        </is>
      </c>
      <c r="C1099" s="19" t="inlineStr">
        <is>
          <t>hora</t>
        </is>
      </c>
      <c r="E1099" s="19" t="n">
        <v>1130</v>
      </c>
    </row>
    <row r="1100">
      <c r="A1100" s="19" t="n">
        <v>1131</v>
      </c>
      <c r="B1100" s="19" t="inlineStr">
        <is>
          <t>Incapacidad por accidente adm</t>
        </is>
      </c>
      <c r="C1100" s="19" t="inlineStr">
        <is>
          <t>jornal</t>
        </is>
      </c>
      <c r="E1100" s="19" t="n">
        <v>1131</v>
      </c>
    </row>
    <row r="1101">
      <c r="A1101" s="19" t="n">
        <v>1132</v>
      </c>
      <c r="B1101" s="19" t="inlineStr">
        <is>
          <t>Destronque El Habra</t>
        </is>
      </c>
      <c r="C1101" s="19" t="inlineStr">
        <is>
          <t>hora</t>
        </is>
      </c>
      <c r="E1101" s="19" t="n">
        <v>1132</v>
      </c>
    </row>
    <row r="1102">
      <c r="A1102" s="19" t="n">
        <v>1133</v>
      </c>
      <c r="B1102" s="19" t="inlineStr">
        <is>
          <t>Cargue y descargue de abono h.e.d.</t>
        </is>
      </c>
      <c r="C1102" s="19" t="inlineStr">
        <is>
          <t>hora</t>
        </is>
      </c>
      <c r="E1102" s="19" t="n">
        <v>1133</v>
      </c>
    </row>
    <row r="1103">
      <c r="A1103" s="19" t="n">
        <v>1134</v>
      </c>
      <c r="B1103" s="19" t="inlineStr">
        <is>
          <t>Motorista El Habra</t>
        </is>
      </c>
      <c r="C1103" s="19" t="inlineStr">
        <is>
          <t>hora</t>
        </is>
      </c>
      <c r="E1103" s="19" t="n">
        <v>1134</v>
      </c>
    </row>
    <row r="1104">
      <c r="A1104" s="19" t="n">
        <v>1135</v>
      </c>
      <c r="B1104" s="19" t="inlineStr">
        <is>
          <t>Cargue de madera El Habra</t>
        </is>
      </c>
      <c r="C1104" s="19" t="inlineStr">
        <is>
          <t>hora</t>
        </is>
      </c>
      <c r="E1104" s="19" t="n">
        <v>1135</v>
      </c>
    </row>
    <row r="1105">
      <c r="A1105" s="19" t="n">
        <v>1136</v>
      </c>
      <c r="B1105" s="19" t="inlineStr">
        <is>
          <t>Control de maleza al dia dominical</t>
        </is>
      </c>
      <c r="C1105" s="19" t="inlineStr">
        <is>
          <t>hora</t>
        </is>
      </c>
      <c r="E1105" s="19" t="n">
        <v>1136</v>
      </c>
    </row>
    <row r="1106">
      <c r="A1106" s="19" t="n">
        <v>1137</v>
      </c>
      <c r="B1106" s="19" t="inlineStr">
        <is>
          <t>Desflore e identificacion dominical</t>
        </is>
      </c>
      <c r="C1106" s="19" t="inlineStr">
        <is>
          <t>hectarea</t>
        </is>
      </c>
      <c r="E1106" s="19" t="n">
        <v>1137</v>
      </c>
    </row>
    <row r="1107">
      <c r="A1107" s="19" t="n">
        <v>1138</v>
      </c>
      <c r="B1107" s="19" t="inlineStr">
        <is>
          <t>Auxiliar de empacadora dominical</t>
        </is>
      </c>
      <c r="C1107" s="19" t="inlineStr">
        <is>
          <t>hora</t>
        </is>
      </c>
      <c r="E1107" s="19" t="n">
        <v>1138</v>
      </c>
    </row>
    <row r="1108">
      <c r="A1108" s="19" t="n">
        <v>1139</v>
      </c>
      <c r="B1108" s="19" t="inlineStr">
        <is>
          <t>Corte promedio cablero dominical</t>
        </is>
      </c>
      <c r="C1108" s="19" t="inlineStr">
        <is>
          <t>caja</t>
        </is>
      </c>
      <c r="E1108" s="19" t="n">
        <v>1139</v>
      </c>
    </row>
    <row r="1109">
      <c r="A1109" s="19" t="n">
        <v>1140</v>
      </c>
      <c r="B1109" s="19" t="inlineStr">
        <is>
          <t>Transporte de tanques de fumigacion</t>
        </is>
      </c>
      <c r="C1109" s="19" t="inlineStr">
        <is>
          <t>hora</t>
        </is>
      </c>
      <c r="E1109" s="19" t="n">
        <v>1140</v>
      </c>
    </row>
    <row r="1110">
      <c r="A1110" s="19" t="n">
        <v>1141</v>
      </c>
      <c r="B1110" s="19" t="inlineStr">
        <is>
          <t>Cargue de cajas dominical h.e.d.</t>
        </is>
      </c>
      <c r="C1110" s="19" t="inlineStr">
        <is>
          <t>hora</t>
        </is>
      </c>
      <c r="E1110" s="19" t="n">
        <v>1141</v>
      </c>
    </row>
    <row r="1111">
      <c r="A1111" s="19" t="n">
        <v>1142</v>
      </c>
      <c r="B1111" s="19" t="inlineStr">
        <is>
          <t>Mantenimiento de cerca El Habra</t>
        </is>
      </c>
      <c r="C1111" s="19" t="inlineStr">
        <is>
          <t>hora</t>
        </is>
      </c>
      <c r="E1111" s="19" t="n">
        <v>1142</v>
      </c>
    </row>
    <row r="1112">
      <c r="A1112" s="19" t="n">
        <v>1143</v>
      </c>
      <c r="B1112" s="19" t="inlineStr">
        <is>
          <t>Cargue de plastico Don Gaspar</t>
        </is>
      </c>
      <c r="C1112" s="19" t="inlineStr">
        <is>
          <t>hora</t>
        </is>
      </c>
      <c r="E1112" s="19" t="n">
        <v>1143</v>
      </c>
    </row>
    <row r="1113">
      <c r="A1113" s="19" t="n">
        <v>1144</v>
      </c>
      <c r="B1113" s="19" t="inlineStr">
        <is>
          <t>Aplicacion foliar El Habra</t>
        </is>
      </c>
      <c r="C1113" s="19" t="inlineStr">
        <is>
          <t>hora</t>
        </is>
      </c>
      <c r="E1113" s="19" t="n">
        <v>1144</v>
      </c>
    </row>
    <row r="1114">
      <c r="A1114" s="19" t="n">
        <v>1145</v>
      </c>
      <c r="B1114" s="19" t="inlineStr">
        <is>
          <t>Cargue de fertilizante</t>
        </is>
      </c>
      <c r="C1114" s="19" t="inlineStr">
        <is>
          <t>hora</t>
        </is>
      </c>
      <c r="E1114" s="19" t="n">
        <v>1145</v>
      </c>
    </row>
    <row r="1115">
      <c r="A1115" s="19" t="n">
        <v>1146</v>
      </c>
      <c r="B1115" s="19" t="inlineStr">
        <is>
          <t>Organizacion de casino</t>
        </is>
      </c>
      <c r="C1115" s="19" t="inlineStr">
        <is>
          <t>hora</t>
        </is>
      </c>
      <c r="E1115" s="19" t="n">
        <v>1146</v>
      </c>
    </row>
    <row r="1116">
      <c r="A1116" s="19" t="n">
        <v>1147</v>
      </c>
      <c r="B1116" s="19" t="inlineStr">
        <is>
          <t>Polinizacion El Habra</t>
        </is>
      </c>
      <c r="C1116" s="19" t="inlineStr">
        <is>
          <t>hora</t>
        </is>
      </c>
      <c r="E1116" s="19" t="n">
        <v>1147</v>
      </c>
    </row>
    <row r="1117">
      <c r="A1117" s="19" t="n">
        <v>1148</v>
      </c>
      <c r="B1117" s="19" t="inlineStr">
        <is>
          <t>Vivero Don Gaspar</t>
        </is>
      </c>
      <c r="C1117" s="19" t="inlineStr">
        <is>
          <t>hora</t>
        </is>
      </c>
      <c r="E1117" s="19" t="n">
        <v>1148</v>
      </c>
    </row>
    <row r="1118">
      <c r="A1118" s="19" t="n">
        <v>1149</v>
      </c>
      <c r="B1118" s="19" t="inlineStr">
        <is>
          <t>Corazo de flecha palma</t>
        </is>
      </c>
      <c r="C1118" s="19" t="inlineStr">
        <is>
          <t>hora</t>
        </is>
      </c>
      <c r="E1118" s="19" t="n">
        <v>1149</v>
      </c>
    </row>
    <row r="1119">
      <c r="A1119" s="19" t="n">
        <v>1150</v>
      </c>
      <c r="B1119" s="19" t="inlineStr">
        <is>
          <t>Botada de basura Don Gaspar</t>
        </is>
      </c>
      <c r="C1119" s="19" t="inlineStr">
        <is>
          <t>hora</t>
        </is>
      </c>
      <c r="E1119" s="19" t="n">
        <v>1150</v>
      </c>
    </row>
    <row r="1120">
      <c r="A1120" s="19" t="n">
        <v>1151</v>
      </c>
      <c r="B1120" s="19" t="inlineStr">
        <is>
          <t>Colocacion de sacos en canal</t>
        </is>
      </c>
      <c r="C1120" s="19" t="inlineStr">
        <is>
          <t>hora</t>
        </is>
      </c>
      <c r="E1120" s="19" t="n">
        <v>1151</v>
      </c>
    </row>
    <row r="1121">
      <c r="A1121" s="19" t="n">
        <v>1152</v>
      </c>
      <c r="B1121" s="19" t="inlineStr">
        <is>
          <t>Traslado de porton</t>
        </is>
      </c>
      <c r="C1121" s="19" t="inlineStr">
        <is>
          <t>hora</t>
        </is>
      </c>
      <c r="E1121" s="19" t="n">
        <v>1152</v>
      </c>
    </row>
    <row r="1122">
      <c r="A1122" s="19" t="n">
        <v>1153</v>
      </c>
      <c r="B1122" s="19" t="inlineStr">
        <is>
          <t>Marcacion de espacios para siembra</t>
        </is>
      </c>
      <c r="C1122" s="19" t="inlineStr">
        <is>
          <t>hora</t>
        </is>
      </c>
      <c r="E1122" s="19" t="n">
        <v>1153</v>
      </c>
    </row>
    <row r="1123">
      <c r="A1123" s="19" t="n">
        <v>1154</v>
      </c>
      <c r="B1123" s="19" t="inlineStr">
        <is>
          <t>Inspector de fruta al dia</t>
        </is>
      </c>
      <c r="C1123" s="19" t="inlineStr">
        <is>
          <t>hora</t>
        </is>
      </c>
      <c r="E1123" s="19" t="n">
        <v>1154</v>
      </c>
    </row>
    <row r="1124">
      <c r="A1124" s="19" t="n">
        <v>1203</v>
      </c>
      <c r="B1124" s="19" t="inlineStr">
        <is>
          <t>Aseo de baños</t>
        </is>
      </c>
      <c r="C1124" s="19" t="inlineStr">
        <is>
          <t>hora</t>
        </is>
      </c>
      <c r="E1124" s="19" t="n">
        <v>1203</v>
      </c>
    </row>
    <row r="1125">
      <c r="A1125" s="19" t="n">
        <v>1204</v>
      </c>
      <c r="B1125" s="19" t="inlineStr">
        <is>
          <t>Clasificacion de bolsas</t>
        </is>
      </c>
      <c r="C1125" s="19" t="inlineStr">
        <is>
          <t>hora</t>
        </is>
      </c>
      <c r="E1125" s="19" t="n">
        <v>1204</v>
      </c>
    </row>
    <row r="1126">
      <c r="A1126" s="19" t="n">
        <v>1458</v>
      </c>
      <c r="B1126" s="19" t="inlineStr">
        <is>
          <t>Pintada areas y localidades</t>
        </is>
      </c>
      <c r="C1126" s="19" t="inlineStr">
        <is>
          <t>hora</t>
        </is>
      </c>
      <c r="E1126" s="19" t="n">
        <v>1458</v>
      </c>
    </row>
    <row r="1127">
      <c r="A1127" s="19" t="n">
        <v>2412</v>
      </c>
      <c r="B1127" s="19" t="inlineStr">
        <is>
          <t>Mantenimiento de resiembra</t>
        </is>
      </c>
      <c r="C1127" s="19" t="inlineStr">
        <is>
          <t>hora</t>
        </is>
      </c>
      <c r="E1127" s="19" t="n">
        <v>2412</v>
      </c>
    </row>
    <row r="1128">
      <c r="A1128" s="19" t="n">
        <v>2413</v>
      </c>
      <c r="B1128" s="19" t="inlineStr">
        <is>
          <t>Mantenimiento de siembra</t>
        </is>
      </c>
      <c r="C1128" s="19" t="inlineStr">
        <is>
          <t>hora</t>
        </is>
      </c>
      <c r="E1128" s="19" t="n">
        <v>2413</v>
      </c>
    </row>
    <row r="1129">
      <c r="A1129" s="19" t="n">
        <v>2415</v>
      </c>
      <c r="B1129" s="19" t="inlineStr">
        <is>
          <t>Mantenimiento caseta motor</t>
        </is>
      </c>
      <c r="C1129" s="19" t="inlineStr">
        <is>
          <t>hora</t>
        </is>
      </c>
      <c r="E1129" s="19" t="n">
        <v>2415</v>
      </c>
    </row>
    <row r="1130">
      <c r="A1130" s="19" t="n">
        <v>2424</v>
      </c>
      <c r="B1130" s="19" t="inlineStr">
        <is>
          <t>Precalibracion</t>
        </is>
      </c>
      <c r="C1130" s="19" t="inlineStr">
        <is>
          <t>hora</t>
        </is>
      </c>
      <c r="E1130" s="19" t="n">
        <v>2424</v>
      </c>
    </row>
    <row r="1131">
      <c r="A1131" s="19" t="n">
        <v>2627</v>
      </c>
      <c r="B1131" s="19" t="inlineStr">
        <is>
          <t>Adecuacion de baños</t>
        </is>
      </c>
      <c r="C1131" s="19" t="inlineStr">
        <is>
          <t>hora</t>
        </is>
      </c>
      <c r="E1131" s="19" t="n">
        <v>2627</v>
      </c>
    </row>
    <row r="1132">
      <c r="A1132" s="19" t="n">
        <v>2896</v>
      </c>
      <c r="B1132" s="19" t="inlineStr">
        <is>
          <t>Arreglo trincheras con saco</t>
        </is>
      </c>
      <c r="C1132" s="19" t="inlineStr">
        <is>
          <t>hora</t>
        </is>
      </c>
      <c r="E1132" s="19" t="n">
        <v>2896</v>
      </c>
    </row>
    <row r="1133">
      <c r="A1133" s="19" t="n">
        <v>2897</v>
      </c>
      <c r="B1133" s="19" t="inlineStr">
        <is>
          <t>Arranque de semillas</t>
        </is>
      </c>
      <c r="C1133" s="19" t="inlineStr">
        <is>
          <t>hora</t>
        </is>
      </c>
      <c r="E1133" s="19" t="n">
        <v>2897</v>
      </c>
    </row>
    <row r="1134">
      <c r="A1134" s="19" t="n">
        <v>2898</v>
      </c>
      <c r="B1134" s="19" t="inlineStr">
        <is>
          <t>Prensada de bolsas</t>
        </is>
      </c>
      <c r="C1134" s="19" t="inlineStr">
        <is>
          <t>hora</t>
        </is>
      </c>
      <c r="E1134" s="19" t="n">
        <v>2898</v>
      </c>
    </row>
    <row r="1135">
      <c r="A1135" s="19" t="n">
        <v>3335</v>
      </c>
      <c r="B1135" s="19" t="inlineStr">
        <is>
          <t>Hechura de escalera</t>
        </is>
      </c>
      <c r="C1135" s="19" t="inlineStr">
        <is>
          <t>hora</t>
        </is>
      </c>
      <c r="E1135" s="19" t="n">
        <v>3335</v>
      </c>
    </row>
    <row r="1136">
      <c r="A1136" s="19" t="n">
        <v>7210</v>
      </c>
      <c r="B1136" s="19" t="inlineStr">
        <is>
          <t>Descargue de gallinaza</t>
        </is>
      </c>
      <c r="C1136" s="19" t="inlineStr">
        <is>
          <t>hora</t>
        </is>
      </c>
      <c r="E1136" s="19" t="n">
        <v>7210</v>
      </c>
    </row>
    <row r="1137">
      <c r="A1137" s="19" t="n">
        <v>9887</v>
      </c>
      <c r="B1137" s="19" t="inlineStr">
        <is>
          <t>Repique de matas</t>
        </is>
      </c>
      <c r="C1137" s="19" t="inlineStr">
        <is>
          <t>hora</t>
        </is>
      </c>
      <c r="E1137" s="19" t="n">
        <v>9887</v>
      </c>
    </row>
    <row r="1138">
      <c r="A1138" s="19" t="n">
        <v>10002</v>
      </c>
      <c r="B1138" s="19" t="inlineStr">
        <is>
          <t>Saldo pendiente festivo promediado</t>
        </is>
      </c>
      <c r="C1138" s="19" t="inlineStr">
        <is>
          <t>hora</t>
        </is>
      </c>
      <c r="E1138" s="19" t="n">
        <v>10002</v>
      </c>
    </row>
    <row r="1139">
      <c r="A1139" s="19" t="n">
        <v>22222</v>
      </c>
      <c r="B1139" s="19" t="inlineStr">
        <is>
          <t>Supervisor de calidad</t>
        </is>
      </c>
      <c r="C1139" s="19" t="inlineStr">
        <is>
          <t>hora</t>
        </is>
      </c>
      <c r="E1139" s="19" t="n">
        <v>22222</v>
      </c>
    </row>
    <row r="1140">
      <c r="A1140" s="19" t="n">
        <v>24123</v>
      </c>
      <c r="B1140" s="19" t="inlineStr">
        <is>
          <t>Palero</t>
        </is>
      </c>
      <c r="C1140" s="19" t="inlineStr">
        <is>
          <t>hora</t>
        </is>
      </c>
      <c r="E1140" s="19" t="n">
        <v>24123</v>
      </c>
    </row>
    <row r="1141">
      <c r="A1141" s="19" t="n">
        <v>30120</v>
      </c>
      <c r="B1141" s="19" t="inlineStr">
        <is>
          <t>Certificacion norma</t>
        </is>
      </c>
      <c r="C1141" s="19" t="inlineStr">
        <is>
          <t>hora</t>
        </is>
      </c>
      <c r="E1141" s="19" t="n">
        <v>30120</v>
      </c>
    </row>
    <row r="1142">
      <c r="A1142" s="19" t="n">
        <v>50018</v>
      </c>
      <c r="B1142" s="19" t="inlineStr">
        <is>
          <t>Arreglo de sequia</t>
        </is>
      </c>
      <c r="C1142" s="19" t="inlineStr">
        <is>
          <t>hora</t>
        </is>
      </c>
      <c r="E1142" s="19" t="n">
        <v>50018</v>
      </c>
    </row>
    <row r="1143">
      <c r="A1143" s="19" t="n">
        <v>50027</v>
      </c>
      <c r="B1143" s="19" t="inlineStr">
        <is>
          <t>Aseo de empacadora Elizabeth</t>
        </is>
      </c>
      <c r="C1143" s="19" t="inlineStr">
        <is>
          <t>hora</t>
        </is>
      </c>
      <c r="E1143" s="19" t="n">
        <v>50027</v>
      </c>
    </row>
    <row r="1144">
      <c r="A1144" s="19" t="n">
        <v>50031</v>
      </c>
      <c r="B1144" s="19" t="inlineStr">
        <is>
          <t>Aplicacion de urea al dia</t>
        </is>
      </c>
      <c r="C1144" s="19" t="inlineStr">
        <is>
          <t>hora</t>
        </is>
      </c>
      <c r="E1144" s="19" t="n">
        <v>50031</v>
      </c>
    </row>
    <row r="1145">
      <c r="A1145" s="19" t="n">
        <v>50032</v>
      </c>
      <c r="B1145" s="19" t="inlineStr">
        <is>
          <t>Descargue de fertilizante</t>
        </is>
      </c>
      <c r="C1145" s="19" t="inlineStr">
        <is>
          <t>tonelada</t>
        </is>
      </c>
      <c r="E1145" s="19" t="n">
        <v>50032</v>
      </c>
    </row>
    <row r="1146">
      <c r="A1146" s="19" t="n">
        <v>50033</v>
      </c>
      <c r="B1146" s="19" t="inlineStr">
        <is>
          <t>Arreglo de semilleros</t>
        </is>
      </c>
      <c r="C1146" s="19" t="inlineStr">
        <is>
          <t>hora</t>
        </is>
      </c>
      <c r="E1146" s="19" t="n">
        <v>50033</v>
      </c>
    </row>
    <row r="1147">
      <c r="A1147" s="19" t="n">
        <v>50034</v>
      </c>
      <c r="B1147" s="19" t="inlineStr">
        <is>
          <t>Aplicacion de urea</t>
        </is>
      </c>
      <c r="C1147" s="19" t="inlineStr">
        <is>
          <t>bulto</t>
        </is>
      </c>
      <c r="E1147" s="19" t="n">
        <v>50034</v>
      </c>
    </row>
    <row r="1148">
      <c r="A1148" s="19" t="n">
        <v>50035</v>
      </c>
      <c r="B1148" s="19" t="inlineStr">
        <is>
          <t>Resiembra de troncon</t>
        </is>
      </c>
      <c r="C1148" s="19" t="inlineStr">
        <is>
          <t>unidad</t>
        </is>
      </c>
      <c r="E1148" s="19" t="n">
        <v>50035</v>
      </c>
    </row>
    <row r="1149">
      <c r="A1149" s="19" t="n">
        <v>50036</v>
      </c>
      <c r="B1149" s="19" t="inlineStr">
        <is>
          <t>Riego por desnivel</t>
        </is>
      </c>
      <c r="C1149" s="19" t="inlineStr">
        <is>
          <t>hora</t>
        </is>
      </c>
      <c r="E1149" s="19" t="n">
        <v>50036</v>
      </c>
    </row>
    <row r="1150">
      <c r="A1150" s="19" t="n">
        <v>50037</v>
      </c>
      <c r="B1150" s="19" t="inlineStr">
        <is>
          <t>Dominical promediado y corte</t>
        </is>
      </c>
      <c r="C1150" s="19" t="inlineStr">
        <is>
          <t>hora</t>
        </is>
      </c>
      <c r="E1150" s="19" t="n">
        <v>50037</v>
      </c>
    </row>
    <row r="1151">
      <c r="A1151" s="19" t="n">
        <v>50038</v>
      </c>
      <c r="B1151" s="19" t="inlineStr">
        <is>
          <t>Elaboracion de compost</t>
        </is>
      </c>
      <c r="C1151" s="19" t="inlineStr">
        <is>
          <t>hora</t>
        </is>
      </c>
      <c r="E1151" s="19" t="n">
        <v>50038</v>
      </c>
    </row>
    <row r="1152">
      <c r="A1152" s="19" t="n">
        <v>50039</v>
      </c>
      <c r="B1152" s="19" t="inlineStr">
        <is>
          <t>Adecuacion de semilleros</t>
        </is>
      </c>
      <c r="C1152" s="19" t="inlineStr">
        <is>
          <t>hora</t>
        </is>
      </c>
      <c r="E1152" s="19" t="n">
        <v>50039</v>
      </c>
    </row>
    <row r="1153">
      <c r="A1153" s="19" t="n">
        <v>50040</v>
      </c>
      <c r="B1153" s="19" t="inlineStr">
        <is>
          <t>Aplicacion de kcl</t>
        </is>
      </c>
      <c r="C1153" s="19" t="inlineStr">
        <is>
          <t>hectarea</t>
        </is>
      </c>
      <c r="E1153" s="19" t="n">
        <v>50040</v>
      </c>
    </row>
    <row r="1154">
      <c r="A1154" s="19" t="n">
        <v>50041</v>
      </c>
      <c r="B1154" s="19" t="inlineStr">
        <is>
          <t>Llenada de rechazo</t>
        </is>
      </c>
      <c r="C1154" s="19" t="inlineStr">
        <is>
          <t>hora</t>
        </is>
      </c>
      <c r="E1154" s="19" t="n">
        <v>50041</v>
      </c>
    </row>
    <row r="1155">
      <c r="A1155" s="19" t="n">
        <v>50042</v>
      </c>
      <c r="B1155" s="19" t="inlineStr">
        <is>
          <t>Arranque de arboles</t>
        </is>
      </c>
      <c r="C1155" s="19" t="inlineStr">
        <is>
          <t>hora</t>
        </is>
      </c>
      <c r="E1155" s="19" t="n">
        <v>50042</v>
      </c>
    </row>
    <row r="1156">
      <c r="A1156" s="19" t="n">
        <v>50043</v>
      </c>
      <c r="B1156" s="19" t="inlineStr">
        <is>
          <t>Cargue de rechazo</t>
        </is>
      </c>
      <c r="C1156" s="19" t="inlineStr">
        <is>
          <t>hora</t>
        </is>
      </c>
      <c r="E1156" s="19" t="n">
        <v>50043</v>
      </c>
    </row>
    <row r="1157">
      <c r="A1157" s="19" t="n">
        <v>50044</v>
      </c>
      <c r="B1157" s="19" t="inlineStr">
        <is>
          <t>Amarre de bacota plantilla</t>
        </is>
      </c>
      <c r="C1157" s="19" t="inlineStr">
        <is>
          <t>hora</t>
        </is>
      </c>
      <c r="E1157" s="19" t="n">
        <v>50044</v>
      </c>
    </row>
    <row r="1158">
      <c r="A1158" s="19" t="n">
        <v>50045</v>
      </c>
      <c r="B1158" s="19" t="inlineStr">
        <is>
          <t>Mantenimiento de aspersores</t>
        </is>
      </c>
      <c r="C1158" s="19" t="inlineStr">
        <is>
          <t>hora</t>
        </is>
      </c>
      <c r="E1158" s="19" t="n">
        <v>50045</v>
      </c>
    </row>
    <row r="1159">
      <c r="A1159" s="19" t="n">
        <v>50046</v>
      </c>
      <c r="B1159" s="19" t="inlineStr">
        <is>
          <t>Resiembra de puyon</t>
        </is>
      </c>
      <c r="C1159" s="19" t="inlineStr">
        <is>
          <t>unidad</t>
        </is>
      </c>
      <c r="E1159" s="19" t="n">
        <v>50046</v>
      </c>
    </row>
    <row r="1160">
      <c r="A1160" s="19" t="n">
        <v>50047</v>
      </c>
      <c r="B1160" s="19" t="inlineStr">
        <is>
          <t>Lavado de baberos</t>
        </is>
      </c>
      <c r="C1160" s="19" t="inlineStr">
        <is>
          <t>hora</t>
        </is>
      </c>
      <c r="E1160" s="19" t="n">
        <v>50047</v>
      </c>
    </row>
    <row r="1161">
      <c r="A1161" s="19" t="n">
        <v>50048</v>
      </c>
      <c r="B1161" s="19" t="inlineStr">
        <is>
          <t>Elaboracion de cazasombra</t>
        </is>
      </c>
      <c r="C1161" s="19" t="inlineStr">
        <is>
          <t>hora</t>
        </is>
      </c>
      <c r="E1161" s="19" t="n">
        <v>50048</v>
      </c>
    </row>
    <row r="1162">
      <c r="A1162" s="19" t="n">
        <v>50049</v>
      </c>
      <c r="B1162" s="19" t="inlineStr">
        <is>
          <t>Limpia de canal de riego</t>
        </is>
      </c>
      <c r="C1162" s="19" t="inlineStr">
        <is>
          <t>hora</t>
        </is>
      </c>
      <c r="E1162" s="19" t="n">
        <v>50049</v>
      </c>
    </row>
    <row r="1163">
      <c r="A1163" s="19" t="n">
        <v>50050</v>
      </c>
      <c r="B1163" s="19" t="inlineStr">
        <is>
          <t>Control de moko</t>
        </is>
      </c>
      <c r="C1163" s="19" t="inlineStr">
        <is>
          <t>hora</t>
        </is>
      </c>
      <c r="E1163" s="19" t="n">
        <v>50050</v>
      </c>
    </row>
    <row r="1164">
      <c r="A1164" s="19" t="n">
        <v>50052</v>
      </c>
      <c r="B1164" s="19" t="inlineStr">
        <is>
          <t>Arreglo de bodega</t>
        </is>
      </c>
      <c r="C1164" s="19" t="inlineStr">
        <is>
          <t>hora</t>
        </is>
      </c>
      <c r="E1164" s="19" t="n">
        <v>50052</v>
      </c>
    </row>
    <row r="1165">
      <c r="A1165" s="19" t="n">
        <v>50053</v>
      </c>
      <c r="B1165" s="19" t="inlineStr">
        <is>
          <t>Aseo de bodega</t>
        </is>
      </c>
      <c r="C1165" s="19" t="inlineStr">
        <is>
          <t>hora</t>
        </is>
      </c>
      <c r="E1165" s="19" t="n">
        <v>50053</v>
      </c>
    </row>
    <row r="1166">
      <c r="A1166" s="19" t="n">
        <v>50054</v>
      </c>
      <c r="B1166" s="19" t="inlineStr">
        <is>
          <t>Recoleccion de materiales de riego</t>
        </is>
      </c>
      <c r="C1166" s="19" t="inlineStr">
        <is>
          <t>hora</t>
        </is>
      </c>
      <c r="E1166" s="19" t="n">
        <v>50054</v>
      </c>
    </row>
    <row r="1167">
      <c r="A1167" s="19" t="n">
        <v>50055</v>
      </c>
      <c r="B1167" s="19" t="inlineStr">
        <is>
          <t>Limpia escobilla</t>
        </is>
      </c>
      <c r="C1167" s="19" t="inlineStr">
        <is>
          <t>mts</t>
        </is>
      </c>
      <c r="E1167" s="19" t="n">
        <v>50055</v>
      </c>
    </row>
    <row r="1168">
      <c r="A1168" s="19" t="n">
        <v>50057</v>
      </c>
      <c r="B1168" s="19" t="inlineStr">
        <is>
          <t>Llenada de sacos de arena</t>
        </is>
      </c>
      <c r="C1168" s="19" t="inlineStr">
        <is>
          <t>hora</t>
        </is>
      </c>
      <c r="E1168" s="19" t="n">
        <v>50057</v>
      </c>
    </row>
    <row r="1169">
      <c r="A1169" s="19" t="n">
        <v>50058</v>
      </c>
      <c r="B1169" s="19" t="inlineStr">
        <is>
          <t>Limpia a machete casa quinta</t>
        </is>
      </c>
      <c r="C1169" s="19" t="inlineStr">
        <is>
          <t>hora</t>
        </is>
      </c>
      <c r="E1169" s="19" t="n">
        <v>50058</v>
      </c>
    </row>
    <row r="1170">
      <c r="A1170" s="19" t="n">
        <v>50060</v>
      </c>
      <c r="B1170" s="19" t="inlineStr">
        <is>
          <t>Jornales ordinarios</t>
        </is>
      </c>
      <c r="C1170" s="19" t="inlineStr">
        <is>
          <t>hora</t>
        </is>
      </c>
      <c r="E1170" s="19" t="n">
        <v>50060</v>
      </c>
    </row>
    <row r="1171">
      <c r="A1171" s="19" t="n">
        <v>50061</v>
      </c>
      <c r="B1171" s="19" t="inlineStr">
        <is>
          <t>Jornales dia festivo</t>
        </is>
      </c>
      <c r="C1171" s="19" t="inlineStr">
        <is>
          <t>hora</t>
        </is>
      </c>
      <c r="E1171" s="19" t="n">
        <v>50061</v>
      </c>
    </row>
    <row r="1172">
      <c r="A1172" s="19" t="n">
        <v>50063</v>
      </c>
      <c r="B1172" s="19" t="inlineStr">
        <is>
          <t>Suspendido</t>
        </is>
      </c>
      <c r="C1172" s="19" t="inlineStr">
        <is>
          <t>hora</t>
        </is>
      </c>
      <c r="E1172" s="19" t="n">
        <v>50063</v>
      </c>
    </row>
    <row r="1173">
      <c r="A1173" s="19" t="n">
        <v>50064</v>
      </c>
      <c r="B1173" s="19" t="inlineStr">
        <is>
          <t>Mantenimiento de plantilla</t>
        </is>
      </c>
      <c r="C1173" s="19" t="inlineStr">
        <is>
          <t>hora</t>
        </is>
      </c>
      <c r="E1173" s="19" t="n">
        <v>50064</v>
      </c>
    </row>
    <row r="1174">
      <c r="A1174" s="19" t="n">
        <v>50067</v>
      </c>
      <c r="B1174" s="19" t="inlineStr">
        <is>
          <t>Acarreo materiales cable via</t>
        </is>
      </c>
      <c r="C1174" s="19" t="inlineStr">
        <is>
          <t>hora</t>
        </is>
      </c>
      <c r="E1174" s="19" t="n">
        <v>50067</v>
      </c>
    </row>
    <row r="1175">
      <c r="A1175" s="19" t="n">
        <v>50068</v>
      </c>
      <c r="B1175" s="19" t="inlineStr">
        <is>
          <t>Aplicacion de fertilizante troncon al dia</t>
        </is>
      </c>
      <c r="C1175" s="19" t="inlineStr">
        <is>
          <t>hora</t>
        </is>
      </c>
      <c r="E1175" s="19" t="n">
        <v>50068</v>
      </c>
    </row>
    <row r="1176">
      <c r="A1176" s="19" t="n">
        <v>50069</v>
      </c>
      <c r="B1176" s="19" t="inlineStr">
        <is>
          <t>Ayudante de topografo</t>
        </is>
      </c>
      <c r="C1176" s="19" t="inlineStr">
        <is>
          <t>hora</t>
        </is>
      </c>
      <c r="E1176" s="19" t="n">
        <v>50069</v>
      </c>
    </row>
    <row r="1177">
      <c r="A1177" s="19" t="n">
        <v>50070</v>
      </c>
      <c r="B1177" s="19" t="inlineStr">
        <is>
          <t>Rastrillo</t>
        </is>
      </c>
      <c r="C1177" s="19" t="inlineStr">
        <is>
          <t>hora</t>
        </is>
      </c>
      <c r="E1177" s="19" t="n">
        <v>50070</v>
      </c>
    </row>
    <row r="1178">
      <c r="A1178" s="19" t="n">
        <v>50071</v>
      </c>
      <c r="B1178" s="19" t="inlineStr">
        <is>
          <t>Corte de matas renovacion</t>
        </is>
      </c>
      <c r="C1178" s="19" t="inlineStr">
        <is>
          <t>hora</t>
        </is>
      </c>
      <c r="E1178" s="19" t="n">
        <v>50071</v>
      </c>
    </row>
    <row r="1179">
      <c r="A1179" s="19" t="n">
        <v>50072</v>
      </c>
      <c r="B1179" s="19" t="inlineStr">
        <is>
          <t>Lavada de daipas</t>
        </is>
      </c>
      <c r="C1179" s="19" t="inlineStr">
        <is>
          <t>hora</t>
        </is>
      </c>
      <c r="E1179" s="19" t="n">
        <v>50072</v>
      </c>
    </row>
    <row r="1180">
      <c r="A1180" s="19" t="n">
        <v>50073</v>
      </c>
      <c r="B1180" s="19" t="inlineStr">
        <is>
          <t>Elaboracion de estaca</t>
        </is>
      </c>
      <c r="C1180" s="19" t="inlineStr">
        <is>
          <t>hora</t>
        </is>
      </c>
      <c r="E1180" s="19" t="n">
        <v>50073</v>
      </c>
    </row>
    <row r="1181">
      <c r="A1181" s="19" t="n">
        <v>50074</v>
      </c>
      <c r="B1181" s="19" t="inlineStr">
        <is>
          <t>Preparacion bolsa de campo</t>
        </is>
      </c>
      <c r="C1181" s="19" t="inlineStr">
        <is>
          <t>hora</t>
        </is>
      </c>
      <c r="E1181" s="19" t="n">
        <v>50074</v>
      </c>
    </row>
    <row r="1182">
      <c r="A1182" s="19" t="n">
        <v>50075</v>
      </c>
      <c r="B1182" s="19" t="inlineStr">
        <is>
          <t>Arreglo de terreno para siembra</t>
        </is>
      </c>
      <c r="C1182" s="19" t="inlineStr">
        <is>
          <t>hora</t>
        </is>
      </c>
      <c r="E1182" s="19" t="n">
        <v>50075</v>
      </c>
    </row>
    <row r="1183">
      <c r="A1183" s="19" t="n">
        <v>50076</v>
      </c>
      <c r="B1183" s="19" t="inlineStr">
        <is>
          <t>Botada de basura</t>
        </is>
      </c>
      <c r="C1183" s="19" t="inlineStr">
        <is>
          <t>hora</t>
        </is>
      </c>
      <c r="E1183" s="19" t="n">
        <v>50076</v>
      </c>
    </row>
    <row r="1184">
      <c r="A1184" s="19" t="n">
        <v>50077</v>
      </c>
      <c r="B1184" s="19" t="inlineStr">
        <is>
          <t>Conteo de cinta</t>
        </is>
      </c>
      <c r="C1184" s="19" t="inlineStr">
        <is>
          <t>hora</t>
        </is>
      </c>
      <c r="E1184" s="19" t="n">
        <v>50077</v>
      </c>
    </row>
    <row r="1185">
      <c r="A1185" s="19" t="n">
        <v>50078</v>
      </c>
      <c r="B1185" s="19" t="inlineStr">
        <is>
          <t>Mantenimiento de garruchas</t>
        </is>
      </c>
      <c r="C1185" s="19" t="inlineStr">
        <is>
          <t>hora</t>
        </is>
      </c>
      <c r="E1185" s="19" t="n">
        <v>50078</v>
      </c>
    </row>
    <row r="1186">
      <c r="A1186" s="19" t="n">
        <v>50079</v>
      </c>
      <c r="B1186" s="19" t="inlineStr">
        <is>
          <t>Viaje de boñiga</t>
        </is>
      </c>
      <c r="C1186" s="19" t="inlineStr">
        <is>
          <t>unidad</t>
        </is>
      </c>
      <c r="E1186" s="19" t="n">
        <v>50079</v>
      </c>
    </row>
    <row r="1187">
      <c r="A1187" s="19" t="n">
        <v>50080</v>
      </c>
      <c r="B1187" s="19" t="inlineStr">
        <is>
          <t>Organizacion de tuberia</t>
        </is>
      </c>
      <c r="C1187" s="19" t="inlineStr">
        <is>
          <t>hora</t>
        </is>
      </c>
      <c r="E1187" s="19" t="n">
        <v>50080</v>
      </c>
    </row>
    <row r="1188">
      <c r="A1188" s="19" t="n">
        <v>50081</v>
      </c>
      <c r="B1188" s="19" t="inlineStr">
        <is>
          <t>Ayudante de corte</t>
        </is>
      </c>
      <c r="C1188" s="19" t="inlineStr">
        <is>
          <t>hora</t>
        </is>
      </c>
      <c r="E1188" s="19" t="n">
        <v>50081</v>
      </c>
    </row>
    <row r="1189">
      <c r="A1189" s="19" t="n">
        <v>50082</v>
      </c>
      <c r="B1189" s="19" t="inlineStr">
        <is>
          <t>Mantenimiento de tractor</t>
        </is>
      </c>
      <c r="C1189" s="19" t="inlineStr">
        <is>
          <t>hora</t>
        </is>
      </c>
      <c r="E1189" s="19" t="n">
        <v>50082</v>
      </c>
    </row>
    <row r="1190">
      <c r="A1190" s="19" t="n">
        <v>50083</v>
      </c>
      <c r="B1190" s="19" t="inlineStr">
        <is>
          <t>Aseo de plantacion</t>
        </is>
      </c>
      <c r="C1190" s="19" t="inlineStr">
        <is>
          <t>hora</t>
        </is>
      </c>
      <c r="E1190" s="19" t="n">
        <v>50083</v>
      </c>
    </row>
    <row r="1191">
      <c r="A1191" s="19" t="n">
        <v>50084</v>
      </c>
      <c r="B1191" s="19" t="inlineStr">
        <is>
          <t>Desmache con sable plantilla</t>
        </is>
      </c>
      <c r="C1191" s="19" t="inlineStr">
        <is>
          <t>hectarea</t>
        </is>
      </c>
      <c r="E1191" s="19" t="n">
        <v>50084</v>
      </c>
    </row>
    <row r="1192">
      <c r="A1192" s="19" t="n">
        <v>50086</v>
      </c>
      <c r="B1192" s="19" t="inlineStr">
        <is>
          <t>Coordinador  festivo</t>
        </is>
      </c>
      <c r="C1192" s="19" t="inlineStr">
        <is>
          <t>hora</t>
        </is>
      </c>
      <c r="E1192" s="19" t="n">
        <v>50086</v>
      </c>
    </row>
    <row r="1193">
      <c r="A1193" s="19" t="n">
        <v>50087</v>
      </c>
      <c r="B1193" s="19" t="inlineStr">
        <is>
          <t>Resiembra de plantilla</t>
        </is>
      </c>
      <c r="C1193" s="19" t="inlineStr">
        <is>
          <t>hora</t>
        </is>
      </c>
      <c r="E1193" s="19" t="n">
        <v>50087</v>
      </c>
    </row>
    <row r="1194">
      <c r="A1194" s="19" t="n">
        <v>50088</v>
      </c>
      <c r="B1194" s="19" t="inlineStr">
        <is>
          <t>Recoleccion de semillas</t>
        </is>
      </c>
      <c r="C1194" s="19" t="inlineStr">
        <is>
          <t>hora</t>
        </is>
      </c>
      <c r="E1194" s="19" t="n">
        <v>50088</v>
      </c>
    </row>
    <row r="1195">
      <c r="A1195" s="19" t="n">
        <v>50089</v>
      </c>
      <c r="B1195" s="19" t="inlineStr">
        <is>
          <t>Reciclaje de soga de campo</t>
        </is>
      </c>
      <c r="C1195" s="19" t="inlineStr">
        <is>
          <t>hora</t>
        </is>
      </c>
      <c r="E1195" s="19" t="n">
        <v>50089</v>
      </c>
    </row>
    <row r="1196">
      <c r="A1196" s="19" t="n">
        <v>50090</v>
      </c>
      <c r="B1196" s="19" t="inlineStr">
        <is>
          <t>Transporte de tubos</t>
        </is>
      </c>
      <c r="C1196" s="19" t="inlineStr">
        <is>
          <t>unidad</t>
        </is>
      </c>
      <c r="E1196" s="19" t="n">
        <v>50090</v>
      </c>
    </row>
    <row r="1197">
      <c r="A1197" s="19" t="n">
        <v>50091</v>
      </c>
      <c r="B1197" s="19" t="inlineStr">
        <is>
          <t>Limpia de plantilla</t>
        </is>
      </c>
      <c r="C1197" s="19" t="inlineStr">
        <is>
          <t>hora</t>
        </is>
      </c>
      <c r="E1197" s="19" t="n">
        <v>50091</v>
      </c>
    </row>
    <row r="1198">
      <c r="A1198" s="19" t="n">
        <v>50092</v>
      </c>
      <c r="B1198" s="19" t="inlineStr">
        <is>
          <t>Limpia de cerca y linderos</t>
        </is>
      </c>
      <c r="C1198" s="19" t="inlineStr">
        <is>
          <t>hora</t>
        </is>
      </c>
      <c r="E1198" s="19" t="n">
        <v>50092</v>
      </c>
    </row>
    <row r="1199">
      <c r="A1199" s="19" t="n">
        <v>50093</v>
      </c>
      <c r="B1199" s="19" t="inlineStr">
        <is>
          <t>Horas extras</t>
        </is>
      </c>
      <c r="C1199" s="19" t="inlineStr">
        <is>
          <t>hora</t>
        </is>
      </c>
      <c r="E1199" s="19" t="n">
        <v>50093</v>
      </c>
    </row>
    <row r="1200">
      <c r="A1200" s="19" t="n">
        <v>50094</v>
      </c>
      <c r="B1200" s="19" t="inlineStr">
        <is>
          <t>Despunte</t>
        </is>
      </c>
      <c r="C1200" s="19" t="inlineStr">
        <is>
          <t>hora</t>
        </is>
      </c>
      <c r="E1200" s="19" t="n">
        <v>50094</v>
      </c>
    </row>
    <row r="1201">
      <c r="A1201" s="19" t="n">
        <v>50095</v>
      </c>
      <c r="B1201" s="19" t="inlineStr">
        <is>
          <t>Sacada de postes  de cable aereo</t>
        </is>
      </c>
      <c r="C1201" s="19" t="inlineStr">
        <is>
          <t>dia</t>
        </is>
      </c>
      <c r="E1201" s="19" t="n">
        <v>50095</v>
      </c>
    </row>
    <row r="1202">
      <c r="A1202" s="19" t="n">
        <v>50096</v>
      </c>
      <c r="B1202" s="19" t="inlineStr">
        <is>
          <t>Celaduria</t>
        </is>
      </c>
      <c r="C1202" s="19" t="inlineStr">
        <is>
          <t>hora</t>
        </is>
      </c>
      <c r="E1202" s="19" t="n">
        <v>50096</v>
      </c>
    </row>
    <row r="1203">
      <c r="A1203" s="19" t="n">
        <v>50097</v>
      </c>
      <c r="B1203" s="19" t="inlineStr">
        <is>
          <t>Supervisor de campo</t>
        </is>
      </c>
      <c r="C1203" s="19" t="inlineStr">
        <is>
          <t>hora</t>
        </is>
      </c>
      <c r="E1203" s="19" t="n">
        <v>50097</v>
      </c>
    </row>
    <row r="1204">
      <c r="A1204" s="19" t="n">
        <v>50098</v>
      </c>
      <c r="B1204" s="19" t="inlineStr">
        <is>
          <t>Ausente por calamidad</t>
        </is>
      </c>
      <c r="C1204" s="19" t="inlineStr">
        <is>
          <t>hora</t>
        </is>
      </c>
      <c r="E1204" s="19" t="n">
        <v>50098</v>
      </c>
    </row>
    <row r="1205">
      <c r="A1205" s="19" t="n">
        <v>50099</v>
      </c>
      <c r="B1205" s="19" t="inlineStr">
        <is>
          <t>Auxiliar de sena</t>
        </is>
      </c>
      <c r="C1205" s="19" t="inlineStr">
        <is>
          <t>hora</t>
        </is>
      </c>
      <c r="E1205" s="19" t="n">
        <v>50099</v>
      </c>
    </row>
    <row r="1206">
      <c r="A1206" s="19" t="n">
        <v>50118</v>
      </c>
      <c r="B1206" s="19" t="inlineStr">
        <is>
          <t>Amarre eliz cristina</t>
        </is>
      </c>
      <c r="C1206" s="19" t="inlineStr">
        <is>
          <t>hora</t>
        </is>
      </c>
      <c r="E1206" s="19" t="n">
        <v>50118</v>
      </c>
    </row>
    <row r="1207">
      <c r="A1207" s="19" t="n">
        <v>50208</v>
      </c>
      <c r="B1207" s="19" t="inlineStr">
        <is>
          <t>Parcela admistrativa la carola</t>
        </is>
      </c>
      <c r="C1207" s="19" t="inlineStr">
        <is>
          <t>hora</t>
        </is>
      </c>
      <c r="E1207" s="19" t="n">
        <v>50208</v>
      </c>
    </row>
    <row r="1208">
      <c r="A1208" s="19" t="n">
        <v>50381</v>
      </c>
      <c r="B1208" s="19" t="inlineStr">
        <is>
          <t>Desflore e identificacion</t>
        </is>
      </c>
      <c r="C1208" s="19" t="inlineStr">
        <is>
          <t>hectarea</t>
        </is>
      </c>
      <c r="E1208" s="19" t="n">
        <v>50381</v>
      </c>
    </row>
    <row r="1209">
      <c r="A1209" s="19" t="n">
        <v>50382</v>
      </c>
      <c r="B1209" s="19" t="inlineStr">
        <is>
          <t>Desflore e identificacion festivo</t>
        </is>
      </c>
      <c r="C1209" s="19" t="inlineStr">
        <is>
          <t>hectarea</t>
        </is>
      </c>
      <c r="E1209" s="19" t="n">
        <v>50382</v>
      </c>
    </row>
    <row r="1210">
      <c r="A1210" s="19" t="n">
        <v>50389</v>
      </c>
      <c r="B1210" s="19" t="inlineStr">
        <is>
          <t>Desflore al dia</t>
        </is>
      </c>
      <c r="C1210" s="19" t="inlineStr">
        <is>
          <t>hora</t>
        </is>
      </c>
      <c r="E1210" s="19" t="n">
        <v>50389</v>
      </c>
    </row>
    <row r="1211">
      <c r="A1211" s="19" t="n">
        <v>200260</v>
      </c>
      <c r="B1211" s="19" t="inlineStr">
        <is>
          <t>Aplicacion de fertilizante troncon</t>
        </is>
      </c>
      <c r="C1211" s="19" t="inlineStr">
        <is>
          <t>unidad</t>
        </is>
      </c>
      <c r="E1211" s="19" t="n">
        <v>200260</v>
      </c>
    </row>
    <row r="1212">
      <c r="A1212" s="19" t="n">
        <v>500092</v>
      </c>
      <c r="B1212" s="19" t="inlineStr">
        <is>
          <t>Construccion de cerca h.e.d.</t>
        </is>
      </c>
      <c r="C1212" s="19" t="inlineStr">
        <is>
          <t>hora</t>
        </is>
      </c>
      <c r="E1212" s="19" t="n">
        <v>500092</v>
      </c>
    </row>
    <row r="1213">
      <c r="A1213" s="19" t="n">
        <v>500093</v>
      </c>
      <c r="B1213" s="19" t="inlineStr">
        <is>
          <t>Bonificacion</t>
        </is>
      </c>
      <c r="C1213" s="19" t="inlineStr">
        <is>
          <t>dia</t>
        </is>
      </c>
      <c r="E1213" s="19" t="n">
        <v>500093</v>
      </c>
    </row>
    <row r="1214">
      <c r="A1214" s="19" t="n">
        <v>500094</v>
      </c>
      <c r="B1214" s="19" t="inlineStr">
        <is>
          <t>Auxiliar de campo</t>
        </is>
      </c>
      <c r="C1214" s="19" t="inlineStr">
        <is>
          <t>hora</t>
        </is>
      </c>
      <c r="E1214" s="19" t="n">
        <v>500094</v>
      </c>
    </row>
    <row r="1215">
      <c r="A1215" s="19" t="n">
        <v>500095</v>
      </c>
      <c r="B1215" s="19" t="inlineStr">
        <is>
          <t>Mantenimiento de riego Elizabeth</t>
        </is>
      </c>
      <c r="C1215" s="19" t="inlineStr">
        <is>
          <t>hora</t>
        </is>
      </c>
      <c r="E1215" s="19" t="n">
        <v>500095</v>
      </c>
    </row>
    <row r="1216">
      <c r="A1216" s="19" t="n">
        <v>500096</v>
      </c>
      <c r="B1216" s="19" t="inlineStr">
        <is>
          <t>Deshoje al dia dominical</t>
        </is>
      </c>
      <c r="C1216" s="19" t="inlineStr">
        <is>
          <t>hora</t>
        </is>
      </c>
      <c r="E1216" s="19" t="n">
        <v>500096</v>
      </c>
    </row>
    <row r="1217">
      <c r="A1217" s="19" t="n">
        <v>500097</v>
      </c>
      <c r="B1217" s="19" t="inlineStr">
        <is>
          <t>Preparacion de cintas</t>
        </is>
      </c>
      <c r="C1217" s="19" t="inlineStr">
        <is>
          <t>hora</t>
        </is>
      </c>
      <c r="E1217" s="19" t="n">
        <v>500097</v>
      </c>
    </row>
    <row r="1218">
      <c r="A1218" s="19" t="n">
        <v>500098</v>
      </c>
      <c r="B1218" s="19" t="inlineStr">
        <is>
          <t>Despeche</t>
        </is>
      </c>
      <c r="C1218" s="19" t="inlineStr">
        <is>
          <t>hora</t>
        </is>
      </c>
      <c r="E1218" s="19" t="n">
        <v>500098</v>
      </c>
    </row>
    <row r="1219">
      <c r="A1219" s="19" t="n">
        <v>500099</v>
      </c>
      <c r="B1219" s="19" t="inlineStr">
        <is>
          <t>Preparacion de nylon</t>
        </is>
      </c>
      <c r="C1219" s="19" t="inlineStr">
        <is>
          <t>hora</t>
        </is>
      </c>
      <c r="E1219" s="19" t="n">
        <v>500099</v>
      </c>
    </row>
    <row r="1220">
      <c r="A1220" s="19" t="n">
        <v>500100</v>
      </c>
      <c r="B1220" s="19" t="inlineStr">
        <is>
          <t>Limpia terreno para trinche</t>
        </is>
      </c>
      <c r="C1220" s="19" t="inlineStr">
        <is>
          <t>hora</t>
        </is>
      </c>
      <c r="E1220" s="19" t="n">
        <v>500100</v>
      </c>
    </row>
    <row r="1221">
      <c r="A1221" s="19" t="n">
        <v>500101</v>
      </c>
      <c r="B1221" s="19" t="inlineStr">
        <is>
          <t>Descargue de pallet</t>
        </is>
      </c>
      <c r="C1221" s="19" t="inlineStr">
        <is>
          <t>unidad</t>
        </is>
      </c>
      <c r="E1221" s="19" t="n">
        <v>500101</v>
      </c>
    </row>
    <row r="1222">
      <c r="A1222" s="19" t="n">
        <v>500102</v>
      </c>
      <c r="B1222" s="19" t="inlineStr">
        <is>
          <t>Aplicacion de round up por hora</t>
        </is>
      </c>
      <c r="C1222" s="19" t="inlineStr">
        <is>
          <t>hora</t>
        </is>
      </c>
      <c r="E1222" s="19" t="n">
        <v>500102</v>
      </c>
    </row>
    <row r="1223">
      <c r="A1223" s="19" t="n">
        <v>500103</v>
      </c>
      <c r="B1223" s="19" t="inlineStr">
        <is>
          <t>Aplicacion de round up</t>
        </is>
      </c>
      <c r="C1223" s="19" t="inlineStr">
        <is>
          <t>hectarea</t>
        </is>
      </c>
      <c r="E1223" s="19" t="n">
        <v>500103</v>
      </c>
    </row>
    <row r="1224">
      <c r="A1224" s="19" t="n">
        <v>500104</v>
      </c>
      <c r="B1224" s="19" t="inlineStr">
        <is>
          <t>Ayudante de amarre</t>
        </is>
      </c>
      <c r="C1224" s="19" t="inlineStr">
        <is>
          <t>hora</t>
        </is>
      </c>
      <c r="E1224" s="19" t="n">
        <v>500104</v>
      </c>
    </row>
    <row r="1225">
      <c r="A1225" s="19" t="n">
        <v>500105</v>
      </c>
      <c r="B1225" s="19" t="inlineStr">
        <is>
          <t>Colocacion de microaspersores</t>
        </is>
      </c>
      <c r="C1225" s="19" t="inlineStr">
        <is>
          <t>hora</t>
        </is>
      </c>
      <c r="E1225" s="19" t="n">
        <v>500105</v>
      </c>
    </row>
    <row r="1226">
      <c r="A1226" s="19" t="n">
        <v>500106</v>
      </c>
      <c r="B1226" s="19" t="inlineStr">
        <is>
          <t>Capacitacion en riego</t>
        </is>
      </c>
      <c r="C1226" s="19" t="inlineStr">
        <is>
          <t>hora</t>
        </is>
      </c>
      <c r="E1226" s="19" t="n">
        <v>500106</v>
      </c>
    </row>
    <row r="1227">
      <c r="A1227" s="19" t="n">
        <v>500107</v>
      </c>
      <c r="B1227" s="19" t="inlineStr">
        <is>
          <t>Cargue de vastagos</t>
        </is>
      </c>
      <c r="C1227" s="19" t="inlineStr">
        <is>
          <t>hora</t>
        </is>
      </c>
      <c r="E1227" s="19" t="n">
        <v>500107</v>
      </c>
    </row>
    <row r="1228">
      <c r="A1228" s="19" t="n">
        <v>500108</v>
      </c>
      <c r="B1228" s="19" t="inlineStr">
        <is>
          <t>Construccion de cerca</t>
        </is>
      </c>
      <c r="C1228" s="19" t="inlineStr">
        <is>
          <t>hora</t>
        </is>
      </c>
      <c r="E1228" s="19" t="n">
        <v>500108</v>
      </c>
    </row>
    <row r="1229">
      <c r="A1229" s="19" t="n">
        <v>500109</v>
      </c>
      <c r="B1229" s="19" t="inlineStr">
        <is>
          <t>Arreglo de carton</t>
        </is>
      </c>
      <c r="C1229" s="19" t="inlineStr">
        <is>
          <t>hora</t>
        </is>
      </c>
      <c r="E1229" s="19" t="n">
        <v>500109</v>
      </c>
    </row>
    <row r="1230">
      <c r="A1230" s="19" t="n">
        <v>500110</v>
      </c>
      <c r="B1230" s="19" t="inlineStr">
        <is>
          <t>Acarreo de estibas</t>
        </is>
      </c>
      <c r="C1230" s="19" t="inlineStr">
        <is>
          <t>unidad</t>
        </is>
      </c>
      <c r="E1230" s="19" t="n">
        <v>500110</v>
      </c>
    </row>
    <row r="1231">
      <c r="A1231" s="19" t="n">
        <v>500111</v>
      </c>
      <c r="B1231" s="19" t="inlineStr">
        <is>
          <t>Organizacion de vivero</t>
        </is>
      </c>
      <c r="C1231" s="19" t="inlineStr">
        <is>
          <t>hora</t>
        </is>
      </c>
      <c r="E1231" s="19" t="n">
        <v>500111</v>
      </c>
    </row>
    <row r="1232">
      <c r="A1232" s="19" t="n">
        <v>500112</v>
      </c>
      <c r="B1232" s="19" t="inlineStr">
        <is>
          <t>Limpia de jarillon</t>
        </is>
      </c>
      <c r="C1232" s="19" t="inlineStr">
        <is>
          <t>hora</t>
        </is>
      </c>
      <c r="E1232" s="19" t="n">
        <v>500112</v>
      </c>
    </row>
    <row r="1233">
      <c r="A1233" s="19" t="n">
        <v>500113</v>
      </c>
      <c r="B1233" s="19" t="inlineStr">
        <is>
          <t>Recava del canal de riego</t>
        </is>
      </c>
      <c r="C1233" s="19" t="inlineStr">
        <is>
          <t>hora</t>
        </is>
      </c>
      <c r="E1233" s="19" t="n">
        <v>500113</v>
      </c>
    </row>
    <row r="1234">
      <c r="A1234" s="19" t="n">
        <v>500114</v>
      </c>
      <c r="B1234" s="19" t="inlineStr">
        <is>
          <t>Horas diurnas</t>
        </is>
      </c>
      <c r="C1234" s="19" t="inlineStr">
        <is>
          <t>hora</t>
        </is>
      </c>
      <c r="E1234" s="19" t="n">
        <v>500114</v>
      </c>
    </row>
    <row r="1235">
      <c r="A1235" s="19" t="n">
        <v>500115</v>
      </c>
      <c r="B1235" s="19" t="inlineStr">
        <is>
          <t>Horas nocturnas y recargos</t>
        </is>
      </c>
      <c r="C1235" s="19" t="inlineStr">
        <is>
          <t>hora</t>
        </is>
      </c>
      <c r="E1235" s="19" t="n">
        <v>500115</v>
      </c>
    </row>
    <row r="1236">
      <c r="A1236" s="19" t="n">
        <v>500117</v>
      </c>
      <c r="B1236" s="19" t="inlineStr">
        <is>
          <t>Horas extras nocturnas</t>
        </is>
      </c>
      <c r="C1236" s="19" t="inlineStr">
        <is>
          <t>hora</t>
        </is>
      </c>
      <c r="E1236" s="19" t="n">
        <v>500117</v>
      </c>
    </row>
    <row r="1237">
      <c r="A1237" s="19" t="n">
        <v>500118</v>
      </c>
      <c r="B1237" s="19" t="inlineStr">
        <is>
          <t>Coordinador Maria Laura</t>
        </is>
      </c>
      <c r="C1237" s="19" t="inlineStr">
        <is>
          <t>hora</t>
        </is>
      </c>
      <c r="E1237" s="19" t="n">
        <v>500118</v>
      </c>
    </row>
    <row r="1238">
      <c r="A1238" s="19" t="n">
        <v>500119</v>
      </c>
      <c r="B1238" s="19" t="inlineStr">
        <is>
          <t>Caciqueo al dia</t>
        </is>
      </c>
      <c r="C1238" s="19" t="inlineStr">
        <is>
          <t>hora</t>
        </is>
      </c>
      <c r="E1238" s="19" t="n">
        <v>500119</v>
      </c>
    </row>
    <row r="1239">
      <c r="A1239" s="19" t="n">
        <v>500126</v>
      </c>
      <c r="B1239" s="19" t="inlineStr">
        <is>
          <t>Pintura de tuberia.</t>
        </is>
      </c>
      <c r="C1239" s="19" t="inlineStr">
        <is>
          <t>hora</t>
        </is>
      </c>
      <c r="E1239" s="19" t="n">
        <v>500126</v>
      </c>
    </row>
    <row r="1240">
      <c r="A1240" s="19" t="n">
        <v>500127</v>
      </c>
      <c r="B1240" s="19" t="inlineStr">
        <is>
          <t>Ayudante de bulldozer</t>
        </is>
      </c>
      <c r="C1240" s="19" t="inlineStr">
        <is>
          <t>hora</t>
        </is>
      </c>
      <c r="E1240" s="19" t="n">
        <v>500127</v>
      </c>
    </row>
    <row r="1241">
      <c r="A1241" s="19" t="n">
        <v>500128</v>
      </c>
      <c r="B1241" s="19" t="inlineStr">
        <is>
          <t>Auxilio de alimentacion</t>
        </is>
      </c>
      <c r="C1241" s="19" t="inlineStr">
        <is>
          <t>dia</t>
        </is>
      </c>
      <c r="E1241" s="19" t="n">
        <v>500128</v>
      </c>
    </row>
    <row r="1242">
      <c r="A1242" s="19" t="n">
        <v>500129</v>
      </c>
      <c r="B1242" s="19" t="inlineStr">
        <is>
          <t>Resiembra de cabezas</t>
        </is>
      </c>
      <c r="C1242" s="19" t="inlineStr">
        <is>
          <t>unidad</t>
        </is>
      </c>
      <c r="E1242" s="19" t="n">
        <v>500129</v>
      </c>
    </row>
    <row r="1243">
      <c r="A1243" s="19" t="n">
        <v>500130</v>
      </c>
      <c r="B1243" s="19" t="inlineStr">
        <is>
          <t>Preparacion de yumbolon</t>
        </is>
      </c>
      <c r="C1243" s="19" t="inlineStr">
        <is>
          <t>hora</t>
        </is>
      </c>
      <c r="E1243" s="19" t="n">
        <v>500130</v>
      </c>
    </row>
    <row r="1244">
      <c r="A1244" s="19" t="n">
        <v>500131</v>
      </c>
      <c r="B1244" s="19" t="inlineStr">
        <is>
          <t>Desvare de tractomula</t>
        </is>
      </c>
      <c r="C1244" s="19" t="inlineStr">
        <is>
          <t>hora</t>
        </is>
      </c>
      <c r="E1244" s="19" t="n">
        <v>500131</v>
      </c>
    </row>
    <row r="1245">
      <c r="A1245" s="19" t="n">
        <v>500132</v>
      </c>
      <c r="B1245" s="19" t="inlineStr">
        <is>
          <t>Limpia con guadaña plantilla</t>
        </is>
      </c>
      <c r="C1245" s="19" t="inlineStr">
        <is>
          <t>hectarea</t>
        </is>
      </c>
      <c r="E1245" s="19" t="n">
        <v>500132</v>
      </c>
    </row>
    <row r="1246">
      <c r="A1246" s="19" t="n">
        <v>500133</v>
      </c>
      <c r="B1246" s="19" t="inlineStr">
        <is>
          <t>Limpia de linderos proyecto</t>
        </is>
      </c>
      <c r="C1246" s="19" t="inlineStr">
        <is>
          <t>mts</t>
        </is>
      </c>
      <c r="E1246" s="19" t="n">
        <v>500133</v>
      </c>
    </row>
    <row r="1247">
      <c r="A1247" s="19" t="n">
        <v>500134</v>
      </c>
      <c r="B1247" s="19" t="inlineStr">
        <is>
          <t>Auxiliar de empacadora</t>
        </is>
      </c>
      <c r="C1247" s="19" t="inlineStr">
        <is>
          <t>hora</t>
        </is>
      </c>
      <c r="E1247" s="19" t="n">
        <v>500134</v>
      </c>
    </row>
    <row r="1248">
      <c r="A1248" s="19" t="n">
        <v>500135</v>
      </c>
      <c r="B1248" s="19" t="inlineStr">
        <is>
          <t>Bajada de bolsa</t>
        </is>
      </c>
      <c r="C1248" s="19" t="inlineStr">
        <is>
          <t>hora</t>
        </is>
      </c>
      <c r="E1248" s="19" t="n">
        <v>500135</v>
      </c>
    </row>
    <row r="1249">
      <c r="A1249" s="19" t="n">
        <v>500136</v>
      </c>
      <c r="B1249" s="19" t="inlineStr">
        <is>
          <t>Bajada de bolsa Elizabeth</t>
        </is>
      </c>
      <c r="C1249" s="19" t="inlineStr">
        <is>
          <t>hora</t>
        </is>
      </c>
      <c r="E1249" s="19" t="n">
        <v>500136</v>
      </c>
    </row>
    <row r="1250">
      <c r="A1250" s="19" t="n">
        <v>500137</v>
      </c>
      <c r="B1250" s="19" t="inlineStr">
        <is>
          <t>Repique de rebrote</t>
        </is>
      </c>
      <c r="C1250" s="19" t="inlineStr">
        <is>
          <t>hora</t>
        </is>
      </c>
      <c r="E1250" s="19" t="n">
        <v>500137</v>
      </c>
    </row>
    <row r="1251">
      <c r="A1251" s="19" t="n">
        <v>500138</v>
      </c>
      <c r="B1251" s="19" t="inlineStr">
        <is>
          <t>Colocacion de polysombra</t>
        </is>
      </c>
      <c r="C1251" s="19" t="inlineStr">
        <is>
          <t>hora</t>
        </is>
      </c>
      <c r="E1251" s="19" t="n">
        <v>500138</v>
      </c>
    </row>
    <row r="1252">
      <c r="A1252" s="19" t="n">
        <v>500139</v>
      </c>
      <c r="B1252" s="19" t="inlineStr">
        <is>
          <t>Chapia de canal proyecto</t>
        </is>
      </c>
      <c r="C1252" s="19" t="inlineStr">
        <is>
          <t>metro</t>
        </is>
      </c>
      <c r="E1252" s="19" t="n">
        <v>500139</v>
      </c>
    </row>
    <row r="1253">
      <c r="A1253" s="19" t="n">
        <v>500140</v>
      </c>
      <c r="B1253" s="19" t="inlineStr">
        <is>
          <t>Limpia con guadaña Elizabeth</t>
        </is>
      </c>
      <c r="C1253" s="19" t="inlineStr">
        <is>
          <t>hectarea</t>
        </is>
      </c>
      <c r="E1253" s="19" t="n">
        <v>500140</v>
      </c>
    </row>
    <row r="1254">
      <c r="A1254" s="19" t="n">
        <v>500141</v>
      </c>
      <c r="B1254" s="19" t="inlineStr">
        <is>
          <t>Colocacion de yumbolon Elizabeth</t>
        </is>
      </c>
      <c r="C1254" s="19" t="inlineStr">
        <is>
          <t>unidad</t>
        </is>
      </c>
      <c r="E1254" s="19" t="n">
        <v>500141</v>
      </c>
    </row>
    <row r="1255">
      <c r="A1255" s="19" t="n">
        <v>500142</v>
      </c>
      <c r="B1255" s="19" t="inlineStr">
        <is>
          <t>Desbejuque Elizabeth</t>
        </is>
      </c>
      <c r="C1255" s="19" t="inlineStr">
        <is>
          <t>hora</t>
        </is>
      </c>
      <c r="E1255" s="19" t="n">
        <v>500142</v>
      </c>
    </row>
    <row r="1256">
      <c r="A1256" s="19" t="n">
        <v>500143</v>
      </c>
      <c r="B1256" s="19" t="inlineStr">
        <is>
          <t>Control de poblacion Elizabeth</t>
        </is>
      </c>
      <c r="C1256" s="19" t="inlineStr">
        <is>
          <t>hora</t>
        </is>
      </c>
      <c r="E1256" s="19" t="n">
        <v>500143</v>
      </c>
    </row>
    <row r="1257">
      <c r="A1257" s="19" t="n">
        <v>500144</v>
      </c>
      <c r="B1257" s="19" t="inlineStr">
        <is>
          <t>Deshoje Elizabeth</t>
        </is>
      </c>
      <c r="C1257" s="19" t="inlineStr">
        <is>
          <t>hectarea</t>
        </is>
      </c>
      <c r="E1257" s="19" t="n">
        <v>500144</v>
      </c>
    </row>
    <row r="1258">
      <c r="A1258" s="19" t="n">
        <v>500145</v>
      </c>
      <c r="B1258" s="19" t="inlineStr">
        <is>
          <t>Mantenimiento de drenajes</t>
        </is>
      </c>
      <c r="C1258" s="19" t="inlineStr">
        <is>
          <t>hora</t>
        </is>
      </c>
      <c r="E1258" s="19" t="n">
        <v>500145</v>
      </c>
    </row>
    <row r="1259">
      <c r="A1259" s="19" t="n">
        <v>500146</v>
      </c>
      <c r="B1259" s="19" t="inlineStr">
        <is>
          <t>Desmache con macana Elizabeth</t>
        </is>
      </c>
      <c r="C1259" s="19" t="inlineStr">
        <is>
          <t>hectarea</t>
        </is>
      </c>
      <c r="E1259" s="19" t="n">
        <v>500146</v>
      </c>
    </row>
    <row r="1260">
      <c r="A1260" s="19" t="n">
        <v>500147</v>
      </c>
      <c r="B1260" s="19" t="inlineStr">
        <is>
          <t>Parcela al dia plantilla</t>
        </is>
      </c>
      <c r="C1260" s="19" t="inlineStr">
        <is>
          <t>hora</t>
        </is>
      </c>
      <c r="E1260" s="19" t="n">
        <v>500147</v>
      </c>
    </row>
    <row r="1261">
      <c r="A1261" s="19" t="n">
        <v>500148</v>
      </c>
      <c r="B1261" s="19" t="inlineStr">
        <is>
          <t>Riego h.e.d.</t>
        </is>
      </c>
      <c r="C1261" s="19" t="inlineStr">
        <is>
          <t>hora</t>
        </is>
      </c>
      <c r="E1261" s="19" t="n">
        <v>500148</v>
      </c>
    </row>
    <row r="1262">
      <c r="A1262" s="19" t="n">
        <v>500149</v>
      </c>
      <c r="B1262" s="19" t="inlineStr">
        <is>
          <t>Cablero h.e.d.</t>
        </is>
      </c>
      <c r="C1262" s="19" t="inlineStr">
        <is>
          <t>hora</t>
        </is>
      </c>
      <c r="E1262" s="19" t="n">
        <v>500149</v>
      </c>
    </row>
    <row r="1263">
      <c r="A1263" s="19" t="n">
        <v>500150</v>
      </c>
      <c r="B1263" s="19" t="inlineStr">
        <is>
          <t>Celaduria h.e.d.</t>
        </is>
      </c>
      <c r="C1263" s="19" t="inlineStr">
        <is>
          <t>hora</t>
        </is>
      </c>
      <c r="E1263" s="19" t="n">
        <v>500150</v>
      </c>
    </row>
    <row r="1264">
      <c r="A1264" s="19" t="n">
        <v>500151</v>
      </c>
      <c r="B1264" s="19" t="inlineStr">
        <is>
          <t>Mantenimiento de riego h.e.d.</t>
        </is>
      </c>
      <c r="C1264" s="19" t="inlineStr">
        <is>
          <t>hora</t>
        </is>
      </c>
      <c r="E1264" s="19" t="n">
        <v>500151</v>
      </c>
    </row>
    <row r="1265">
      <c r="A1265" s="19" t="n">
        <v>500152</v>
      </c>
      <c r="B1265" s="19" t="inlineStr">
        <is>
          <t>Auxiliar de empacadora h.e.d.</t>
        </is>
      </c>
      <c r="C1265" s="19" t="inlineStr">
        <is>
          <t>hora</t>
        </is>
      </c>
      <c r="E1265" s="19" t="n">
        <v>500152</v>
      </c>
    </row>
    <row r="1266">
      <c r="A1266" s="19" t="n">
        <v>500153</v>
      </c>
      <c r="B1266" s="19" t="inlineStr">
        <is>
          <t>Amarre en plantilla</t>
        </is>
      </c>
      <c r="C1266" s="19" t="inlineStr">
        <is>
          <t>hora</t>
        </is>
      </c>
      <c r="E1266" s="19" t="n">
        <v>500153</v>
      </c>
    </row>
    <row r="1267">
      <c r="A1267" s="19" t="n">
        <v>500154</v>
      </c>
      <c r="B1267" s="19" t="inlineStr">
        <is>
          <t>Ayudante de parcela plantilla</t>
        </is>
      </c>
      <c r="C1267" s="19" t="inlineStr">
        <is>
          <t>hora</t>
        </is>
      </c>
      <c r="E1267" s="19" t="n">
        <v>500154</v>
      </c>
    </row>
    <row r="1268">
      <c r="A1268" s="19" t="n">
        <v>500155</v>
      </c>
      <c r="B1268" s="19" t="inlineStr">
        <is>
          <t>Tutor parcela combinada</t>
        </is>
      </c>
      <c r="C1268" s="19" t="inlineStr">
        <is>
          <t>hora</t>
        </is>
      </c>
      <c r="E1268" s="19" t="n">
        <v>500155</v>
      </c>
    </row>
    <row r="1269">
      <c r="A1269" s="19" t="n">
        <v>500156</v>
      </c>
      <c r="B1269" s="19" t="inlineStr">
        <is>
          <t>Resiembra de troncon Elizabeth</t>
        </is>
      </c>
      <c r="C1269" s="19" t="inlineStr">
        <is>
          <t>unidad</t>
        </is>
      </c>
      <c r="E1269" s="19" t="n">
        <v>500156</v>
      </c>
    </row>
    <row r="1270">
      <c r="A1270" s="19" t="n">
        <v>500157</v>
      </c>
      <c r="B1270" s="19" t="inlineStr">
        <is>
          <t>Reciclaje plasticos de campo</t>
        </is>
      </c>
      <c r="C1270" s="19" t="inlineStr">
        <is>
          <t>hora</t>
        </is>
      </c>
      <c r="E1270" s="19" t="n">
        <v>500157</v>
      </c>
    </row>
    <row r="1271">
      <c r="A1271" s="19" t="n">
        <v>500158</v>
      </c>
      <c r="B1271" s="19" t="inlineStr">
        <is>
          <t>Realce de plantilla al dia</t>
        </is>
      </c>
      <c r="C1271" s="19" t="inlineStr">
        <is>
          <t>hora</t>
        </is>
      </c>
      <c r="E1271" s="19" t="n">
        <v>500158</v>
      </c>
    </row>
    <row r="1272">
      <c r="A1272" s="19" t="n">
        <v>500159</v>
      </c>
      <c r="B1272" s="19" t="inlineStr">
        <is>
          <t>Caciqueo en plantilla</t>
        </is>
      </c>
      <c r="C1272" s="19" t="inlineStr">
        <is>
          <t>hora</t>
        </is>
      </c>
      <c r="E1272" s="19" t="n">
        <v>500159</v>
      </c>
    </row>
    <row r="1273">
      <c r="A1273" s="19" t="n">
        <v>500160</v>
      </c>
      <c r="B1273" s="19" t="inlineStr">
        <is>
          <t>Fertirriego h.e.d.</t>
        </is>
      </c>
      <c r="C1273" s="19" t="inlineStr">
        <is>
          <t>hora</t>
        </is>
      </c>
      <c r="E1273" s="19" t="n">
        <v>500160</v>
      </c>
    </row>
    <row r="1274">
      <c r="A1274" s="19" t="n">
        <v>500161</v>
      </c>
      <c r="B1274" s="19" t="inlineStr">
        <is>
          <t>Riego festivo</t>
        </is>
      </c>
      <c r="C1274" s="19" t="inlineStr">
        <is>
          <t>hora</t>
        </is>
      </c>
      <c r="E1274" s="19" t="n">
        <v>500161</v>
      </c>
    </row>
    <row r="1275">
      <c r="A1275" s="19" t="n">
        <v>500162</v>
      </c>
      <c r="B1275" s="19" t="inlineStr">
        <is>
          <t>Riego festivo nocturno</t>
        </is>
      </c>
      <c r="C1275" s="19" t="inlineStr">
        <is>
          <t>hora</t>
        </is>
      </c>
      <c r="E1275" s="19" t="n">
        <v>500162</v>
      </c>
    </row>
    <row r="1276">
      <c r="A1276" s="19" t="n">
        <v>500163</v>
      </c>
      <c r="B1276" s="19" t="inlineStr">
        <is>
          <t>Riego festivo Elizabeth</t>
        </is>
      </c>
      <c r="C1276" s="19" t="inlineStr">
        <is>
          <t>hora</t>
        </is>
      </c>
      <c r="E1276" s="19" t="n">
        <v>500163</v>
      </c>
    </row>
    <row r="1277">
      <c r="A1277" s="19" t="n">
        <v>500164</v>
      </c>
      <c r="B1277" s="19" t="inlineStr">
        <is>
          <t>Fertirriego Elizabeth h.e.d.</t>
        </is>
      </c>
      <c r="C1277" s="19" t="inlineStr">
        <is>
          <t>hora</t>
        </is>
      </c>
      <c r="E1277" s="19" t="n">
        <v>500164</v>
      </c>
    </row>
    <row r="1278">
      <c r="A1278" s="19" t="n">
        <v>500165</v>
      </c>
      <c r="B1278" s="19" t="inlineStr">
        <is>
          <t>Limpia a machete Elizabeth</t>
        </is>
      </c>
      <c r="C1278" s="19" t="inlineStr">
        <is>
          <t>hora</t>
        </is>
      </c>
      <c r="E1278" s="19" t="n">
        <v>500165</v>
      </c>
    </row>
    <row r="1279">
      <c r="A1279" s="19" t="n">
        <v>500166</v>
      </c>
      <c r="B1279" s="19" t="inlineStr">
        <is>
          <t>Riego dominical Elizabeth</t>
        </is>
      </c>
      <c r="C1279" s="19" t="inlineStr">
        <is>
          <t>hora</t>
        </is>
      </c>
      <c r="E1279" s="19" t="n">
        <v>500166</v>
      </c>
    </row>
    <row r="1280">
      <c r="A1280" s="19" t="n">
        <v>500167</v>
      </c>
      <c r="B1280" s="19" t="inlineStr">
        <is>
          <t>Cargue de cajas Elizabeth</t>
        </is>
      </c>
      <c r="C1280" s="19" t="inlineStr">
        <is>
          <t>hora</t>
        </is>
      </c>
      <c r="E1280" s="19" t="n">
        <v>500167</v>
      </c>
    </row>
    <row r="1281">
      <c r="A1281" s="19" t="n">
        <v>500168</v>
      </c>
      <c r="B1281" s="19" t="inlineStr">
        <is>
          <t>Riego dominical</t>
        </is>
      </c>
      <c r="C1281" s="19" t="inlineStr">
        <is>
          <t>hora</t>
        </is>
      </c>
      <c r="E1281" s="19" t="n">
        <v>500168</v>
      </c>
    </row>
    <row r="1282">
      <c r="A1282" s="19" t="n">
        <v>500169</v>
      </c>
      <c r="B1282" s="19" t="inlineStr">
        <is>
          <t>Elaboracion de puentes proyecto</t>
        </is>
      </c>
      <c r="C1282" s="19" t="inlineStr">
        <is>
          <t>hora</t>
        </is>
      </c>
      <c r="E1282" s="19" t="n">
        <v>500169</v>
      </c>
    </row>
    <row r="1283">
      <c r="A1283" s="19" t="n">
        <v>500170</v>
      </c>
      <c r="B1283" s="19" t="inlineStr">
        <is>
          <t>Mantenimiento de riego festivo</t>
        </is>
      </c>
      <c r="C1283" s="19" t="inlineStr">
        <is>
          <t>hora</t>
        </is>
      </c>
      <c r="E1283" s="19" t="n">
        <v>500170</v>
      </c>
    </row>
    <row r="1284">
      <c r="A1284" s="19" t="n">
        <v>500171</v>
      </c>
      <c r="B1284" s="19" t="inlineStr">
        <is>
          <t>Precalibracion Elizabeth</t>
        </is>
      </c>
      <c r="C1284" s="19" t="inlineStr">
        <is>
          <t>hora</t>
        </is>
      </c>
      <c r="E1284" s="19" t="n">
        <v>500171</v>
      </c>
    </row>
    <row r="1285">
      <c r="A1285" s="19" t="n">
        <v>500172</v>
      </c>
      <c r="B1285" s="19" t="inlineStr">
        <is>
          <t>Chapia de canal Elizabeth</t>
        </is>
      </c>
      <c r="C1285" s="19" t="inlineStr">
        <is>
          <t>metro</t>
        </is>
      </c>
      <c r="E1285" s="19" t="n">
        <v>500172</v>
      </c>
    </row>
    <row r="1286">
      <c r="A1286" s="19" t="n">
        <v>500173</v>
      </c>
      <c r="B1286" s="19" t="inlineStr">
        <is>
          <t>Descargue de materiales de riego</t>
        </is>
      </c>
      <c r="C1286" s="19" t="inlineStr">
        <is>
          <t>hora</t>
        </is>
      </c>
      <c r="E1286" s="19" t="n">
        <v>500173</v>
      </c>
    </row>
    <row r="1287">
      <c r="A1287" s="19" t="n">
        <v>500174</v>
      </c>
      <c r="B1287" s="19" t="inlineStr">
        <is>
          <t>Mantenimiento de infraestructura</t>
        </is>
      </c>
      <c r="C1287" s="19" t="inlineStr">
        <is>
          <t>hora</t>
        </is>
      </c>
      <c r="E1287" s="19" t="n">
        <v>500174</v>
      </c>
    </row>
    <row r="1288">
      <c r="A1288" s="19" t="n">
        <v>500175</v>
      </c>
      <c r="B1288" s="19" t="inlineStr">
        <is>
          <t>Limpia con guadaña plantilla al dia</t>
        </is>
      </c>
      <c r="C1288" s="19" t="inlineStr">
        <is>
          <t>hora</t>
        </is>
      </c>
      <c r="E1288" s="19" t="n">
        <v>500175</v>
      </c>
    </row>
    <row r="1289">
      <c r="A1289" s="19" t="n">
        <v>500177</v>
      </c>
      <c r="B1289" s="19" t="inlineStr">
        <is>
          <t>Traslado de cisco vivero</t>
        </is>
      </c>
      <c r="C1289" s="19" t="inlineStr">
        <is>
          <t>hora</t>
        </is>
      </c>
      <c r="E1289" s="19" t="n">
        <v>500177</v>
      </c>
    </row>
    <row r="1290">
      <c r="A1290" s="19" t="n">
        <v>500178</v>
      </c>
      <c r="B1290" s="19" t="inlineStr">
        <is>
          <t>Desbejuque en plantilla</t>
        </is>
      </c>
      <c r="C1290" s="19" t="inlineStr">
        <is>
          <t>hora</t>
        </is>
      </c>
      <c r="E1290" s="19" t="n">
        <v>500178</v>
      </c>
    </row>
    <row r="1291">
      <c r="A1291" s="19" t="n">
        <v>500179</v>
      </c>
      <c r="B1291" s="19" t="inlineStr">
        <is>
          <t>Corte promedio al dia</t>
        </is>
      </c>
      <c r="C1291" s="19" t="inlineStr">
        <is>
          <t>hora</t>
        </is>
      </c>
      <c r="E1291" s="19" t="n">
        <v>500179</v>
      </c>
    </row>
    <row r="1292">
      <c r="A1292" s="19" t="n">
        <v>500180</v>
      </c>
      <c r="B1292" s="19" t="inlineStr">
        <is>
          <t>Desguasque al dia</t>
        </is>
      </c>
      <c r="C1292" s="19" t="inlineStr">
        <is>
          <t>hora</t>
        </is>
      </c>
      <c r="E1292" s="19" t="n">
        <v>500180</v>
      </c>
    </row>
    <row r="1293">
      <c r="A1293" s="19" t="n">
        <v>500181</v>
      </c>
      <c r="B1293" s="19" t="inlineStr">
        <is>
          <t>Desbejuque al dia</t>
        </is>
      </c>
      <c r="C1293" s="19" t="inlineStr">
        <is>
          <t>hora</t>
        </is>
      </c>
      <c r="E1293" s="19" t="n">
        <v>500181</v>
      </c>
    </row>
    <row r="1294">
      <c r="A1294" s="19" t="n">
        <v>500182</v>
      </c>
      <c r="B1294" s="19" t="inlineStr">
        <is>
          <t>Corte promedio festivo</t>
        </is>
      </c>
      <c r="C1294" s="19" t="inlineStr">
        <is>
          <t>caja</t>
        </is>
      </c>
      <c r="E1294" s="19" t="n">
        <v>500182</v>
      </c>
    </row>
    <row r="1295">
      <c r="A1295" s="19" t="n">
        <v>500183</v>
      </c>
      <c r="B1295" s="19" t="inlineStr">
        <is>
          <t>Celaduria porton</t>
        </is>
      </c>
      <c r="C1295" s="19" t="inlineStr">
        <is>
          <t>hora</t>
        </is>
      </c>
      <c r="E1295" s="19" t="n">
        <v>500183</v>
      </c>
    </row>
    <row r="1296">
      <c r="A1296" s="19" t="n">
        <v>500184</v>
      </c>
      <c r="B1296" s="19" t="inlineStr">
        <is>
          <t>Celaduria porton festivo</t>
        </is>
      </c>
      <c r="C1296" s="19" t="inlineStr">
        <is>
          <t>hora</t>
        </is>
      </c>
      <c r="E1296" s="19" t="n">
        <v>500184</v>
      </c>
    </row>
    <row r="1297">
      <c r="A1297" s="19" t="n">
        <v>500185</v>
      </c>
      <c r="B1297" s="19" t="inlineStr">
        <is>
          <t>Parcela simultanea festivo</t>
        </is>
      </c>
      <c r="C1297" s="19" t="inlineStr">
        <is>
          <t>hectarea</t>
        </is>
      </c>
      <c r="E1297" s="19" t="n">
        <v>500185</v>
      </c>
    </row>
    <row r="1298">
      <c r="A1298" s="19" t="n">
        <v>500186</v>
      </c>
      <c r="B1298" s="19" t="inlineStr">
        <is>
          <t>Celaduria porton dominical</t>
        </is>
      </c>
      <c r="C1298" s="19" t="inlineStr">
        <is>
          <t>hora</t>
        </is>
      </c>
      <c r="E1298" s="19" t="n">
        <v>500186</v>
      </c>
    </row>
    <row r="1299">
      <c r="A1299" s="19" t="n">
        <v>500187</v>
      </c>
      <c r="B1299" s="19" t="inlineStr">
        <is>
          <t>Almacenista festivo</t>
        </is>
      </c>
      <c r="C1299" s="19" t="inlineStr">
        <is>
          <t>hora</t>
        </is>
      </c>
      <c r="E1299" s="19" t="n">
        <v>500187</v>
      </c>
    </row>
    <row r="1300">
      <c r="A1300" s="19" t="n">
        <v>500188</v>
      </c>
      <c r="B1300" s="19" t="inlineStr">
        <is>
          <t>Promedio llenada de canastilla</t>
        </is>
      </c>
      <c r="C1300" s="19" t="inlineStr">
        <is>
          <t>caja</t>
        </is>
      </c>
      <c r="E1300" s="19" t="n">
        <v>500188</v>
      </c>
    </row>
    <row r="1301">
      <c r="A1301" s="19" t="n">
        <v>500189</v>
      </c>
      <c r="B1301" s="19" t="inlineStr">
        <is>
          <t>Promedio bolsa y proteclon</t>
        </is>
      </c>
      <c r="C1301" s="19" t="inlineStr">
        <is>
          <t>caja</t>
        </is>
      </c>
      <c r="E1301" s="19" t="n">
        <v>500189</v>
      </c>
    </row>
    <row r="1302">
      <c r="A1302" s="19" t="n">
        <v>500190</v>
      </c>
      <c r="B1302" s="19" t="inlineStr">
        <is>
          <t>Parcela combinada festivo</t>
        </is>
      </c>
      <c r="C1302" s="19" t="inlineStr">
        <is>
          <t>hectarea</t>
        </is>
      </c>
      <c r="E1302" s="19" t="n">
        <v>500190</v>
      </c>
    </row>
    <row r="1303">
      <c r="A1303" s="19" t="n">
        <v>500192</v>
      </c>
      <c r="B1303" s="19" t="inlineStr">
        <is>
          <t>Corte al dia Elizabeth</t>
        </is>
      </c>
      <c r="C1303" s="19" t="inlineStr">
        <is>
          <t>hora</t>
        </is>
      </c>
      <c r="E1303" s="19" t="n">
        <v>500192</v>
      </c>
    </row>
    <row r="1304">
      <c r="A1304" s="19" t="n">
        <v>500193</v>
      </c>
      <c r="B1304" s="19" t="inlineStr">
        <is>
          <t>Corte promedio al dia Elizabeth</t>
        </is>
      </c>
      <c r="C1304" s="19" t="inlineStr">
        <is>
          <t>hora</t>
        </is>
      </c>
      <c r="E1304" s="19" t="n">
        <v>500193</v>
      </c>
    </row>
    <row r="1305">
      <c r="A1305" s="19" t="n">
        <v>500194</v>
      </c>
      <c r="B1305" s="19" t="inlineStr">
        <is>
          <t>Aplicacion de herbicida Elizabeth</t>
        </is>
      </c>
      <c r="C1305" s="19" t="inlineStr">
        <is>
          <t>hectarea</t>
        </is>
      </c>
      <c r="E1305" s="19" t="n">
        <v>500194</v>
      </c>
    </row>
    <row r="1306">
      <c r="A1306" s="19" t="n">
        <v>500195</v>
      </c>
      <c r="B1306" s="19" t="inlineStr">
        <is>
          <t>Auxiliar de empacadora Elizabeth</t>
        </is>
      </c>
      <c r="C1306" s="19" t="inlineStr">
        <is>
          <t>hora</t>
        </is>
      </c>
      <c r="E1306" s="19" t="n">
        <v>500195</v>
      </c>
    </row>
    <row r="1307">
      <c r="A1307" s="19" t="n">
        <v>500196</v>
      </c>
      <c r="B1307" s="19" t="inlineStr">
        <is>
          <t>Trincheo Elizabeth</t>
        </is>
      </c>
      <c r="C1307" s="19" t="inlineStr">
        <is>
          <t>hectarea</t>
        </is>
      </c>
      <c r="E1307" s="19" t="n">
        <v>500196</v>
      </c>
    </row>
    <row r="1308">
      <c r="A1308" s="19" t="n">
        <v>500197</v>
      </c>
      <c r="B1308" s="19" t="inlineStr">
        <is>
          <t>Coordinador de sanidad</t>
        </is>
      </c>
      <c r="C1308" s="19" t="inlineStr">
        <is>
          <t>hora</t>
        </is>
      </c>
      <c r="E1308" s="19" t="n">
        <v>500197</v>
      </c>
    </row>
    <row r="1309">
      <c r="A1309" s="19" t="n">
        <v>500198</v>
      </c>
      <c r="B1309" s="19" t="inlineStr">
        <is>
          <t>Deshoje al dia festivo</t>
        </is>
      </c>
      <c r="C1309" s="19" t="inlineStr">
        <is>
          <t>hora</t>
        </is>
      </c>
      <c r="E1309" s="19" t="n">
        <v>500198</v>
      </c>
    </row>
    <row r="1310">
      <c r="A1310" s="19" t="n">
        <v>500199</v>
      </c>
      <c r="B1310" s="19" t="inlineStr">
        <is>
          <t>Mantenimiento de riego dominical</t>
        </is>
      </c>
      <c r="C1310" s="19" t="inlineStr">
        <is>
          <t>hora</t>
        </is>
      </c>
      <c r="E1310" s="19" t="n">
        <v>500199</v>
      </c>
    </row>
    <row r="1311">
      <c r="A1311" s="19" t="n">
        <v>500200</v>
      </c>
      <c r="B1311" s="19" t="inlineStr">
        <is>
          <t>Botada de plastico</t>
        </is>
      </c>
      <c r="C1311" s="19" t="inlineStr">
        <is>
          <t>hora</t>
        </is>
      </c>
      <c r="E1311" s="19" t="n">
        <v>500200</v>
      </c>
    </row>
    <row r="1312">
      <c r="A1312" s="19" t="n">
        <v>500201</v>
      </c>
      <c r="B1312" s="19" t="inlineStr">
        <is>
          <t>Limpia de vivero</t>
        </is>
      </c>
      <c r="C1312" s="19" t="inlineStr">
        <is>
          <t>hora</t>
        </is>
      </c>
      <c r="E1312" s="19" t="n">
        <v>500201</v>
      </c>
    </row>
    <row r="1313">
      <c r="A1313" s="19" t="n">
        <v>500202</v>
      </c>
      <c r="B1313" s="19" t="inlineStr">
        <is>
          <t>Cortes de cajas no planillados</t>
        </is>
      </c>
      <c r="C1313" s="19" t="inlineStr">
        <is>
          <t>unidad</t>
        </is>
      </c>
      <c r="E1313" s="19" t="n">
        <v>500202</v>
      </c>
    </row>
    <row r="1314">
      <c r="A1314" s="19" t="n">
        <v>500203</v>
      </c>
      <c r="B1314" s="19" t="inlineStr">
        <is>
          <t>Operador retroexcavadora</t>
        </is>
      </c>
      <c r="C1314" s="19" t="inlineStr">
        <is>
          <t>hora</t>
        </is>
      </c>
      <c r="E1314" s="19" t="n">
        <v>500203</v>
      </c>
    </row>
    <row r="1315">
      <c r="A1315" s="19" t="n">
        <v>500204</v>
      </c>
      <c r="B1315" s="19" t="inlineStr">
        <is>
          <t>Limpia y pasada de tubo canal chirina</t>
        </is>
      </c>
      <c r="C1315" s="19" t="inlineStr">
        <is>
          <t>hora</t>
        </is>
      </c>
      <c r="E1315" s="19" t="n">
        <v>500204</v>
      </c>
    </row>
    <row r="1316">
      <c r="A1316" s="19" t="n">
        <v>500205</v>
      </c>
      <c r="B1316" s="19" t="inlineStr">
        <is>
          <t>Reconstruccion de puente</t>
        </is>
      </c>
      <c r="C1316" s="19" t="inlineStr">
        <is>
          <t>hora</t>
        </is>
      </c>
      <c r="E1316" s="19" t="n">
        <v>500205</v>
      </c>
    </row>
    <row r="1317">
      <c r="A1317" s="19" t="n">
        <v>500206</v>
      </c>
      <c r="B1317" s="19" t="inlineStr">
        <is>
          <t>Hechura de trinchera</t>
        </is>
      </c>
      <c r="C1317" s="19" t="inlineStr">
        <is>
          <t>hora</t>
        </is>
      </c>
      <c r="E1317" s="19" t="n">
        <v>500206</v>
      </c>
    </row>
    <row r="1318">
      <c r="A1318" s="19" t="n">
        <v>500207</v>
      </c>
      <c r="B1318" s="19" t="inlineStr">
        <is>
          <t>Supervisor finca La Alegria</t>
        </is>
      </c>
      <c r="E1318" s="19" t="n">
        <v>500207</v>
      </c>
    </row>
    <row r="1319">
      <c r="A1319" s="19" t="n">
        <v>500208</v>
      </c>
      <c r="B1319" s="19" t="inlineStr">
        <is>
          <t>Inventario de carton</t>
        </is>
      </c>
      <c r="C1319" s="19" t="inlineStr">
        <is>
          <t>hora</t>
        </is>
      </c>
      <c r="E1319" s="19" t="n">
        <v>500208</v>
      </c>
    </row>
    <row r="1320">
      <c r="A1320" s="19" t="n">
        <v>500209</v>
      </c>
      <c r="B1320" s="19" t="inlineStr">
        <is>
          <t>Estaquillada</t>
        </is>
      </c>
      <c r="C1320" s="19" t="inlineStr">
        <is>
          <t>hora</t>
        </is>
      </c>
      <c r="E1320" s="19" t="n">
        <v>500209</v>
      </c>
    </row>
    <row r="1321">
      <c r="A1321" s="19" t="n">
        <v>500210</v>
      </c>
      <c r="B1321" s="19" t="inlineStr">
        <is>
          <t>Chapia de canal al dia</t>
        </is>
      </c>
      <c r="C1321" s="19" t="inlineStr">
        <is>
          <t>hora</t>
        </is>
      </c>
      <c r="E1321" s="19" t="n">
        <v>500210</v>
      </c>
    </row>
    <row r="1322">
      <c r="A1322" s="19" t="n">
        <v>500211</v>
      </c>
      <c r="B1322" s="19" t="inlineStr">
        <is>
          <t>Transporte de frutas</t>
        </is>
      </c>
      <c r="C1322" s="19" t="inlineStr">
        <is>
          <t>unidad</t>
        </is>
      </c>
      <c r="E1322" s="19" t="n">
        <v>500211</v>
      </c>
    </row>
    <row r="1323">
      <c r="A1323" s="19" t="n">
        <v>500212</v>
      </c>
      <c r="B1323" s="19" t="inlineStr">
        <is>
          <t>Transporte a las flores (tanques)</t>
        </is>
      </c>
      <c r="C1323" s="19" t="inlineStr">
        <is>
          <t>unidad</t>
        </is>
      </c>
      <c r="E1323" s="19" t="n">
        <v>500212</v>
      </c>
    </row>
    <row r="1324">
      <c r="A1324" s="19" t="n">
        <v>500213</v>
      </c>
      <c r="B1324" s="19" t="inlineStr">
        <is>
          <t>Transp materiales empacadora</t>
        </is>
      </c>
      <c r="C1324" s="19" t="inlineStr">
        <is>
          <t>hora</t>
        </is>
      </c>
      <c r="E1324" s="19" t="n">
        <v>500213</v>
      </c>
    </row>
    <row r="1325">
      <c r="A1325" s="19" t="n">
        <v>500214</v>
      </c>
      <c r="B1325" s="19" t="inlineStr">
        <is>
          <t>Tranporte a las flores carton</t>
        </is>
      </c>
      <c r="C1325" s="19" t="inlineStr">
        <is>
          <t>unidad</t>
        </is>
      </c>
      <c r="E1325" s="19" t="n">
        <v>500214</v>
      </c>
    </row>
    <row r="1326">
      <c r="A1326" s="19" t="n">
        <v>500215</v>
      </c>
      <c r="B1326" s="19" t="inlineStr">
        <is>
          <t>Acarreo de fertilizante</t>
        </is>
      </c>
      <c r="C1326" s="19" t="inlineStr">
        <is>
          <t>hora</t>
        </is>
      </c>
      <c r="E1326" s="19" t="n">
        <v>500215</v>
      </c>
    </row>
    <row r="1327">
      <c r="A1327" s="19" t="n">
        <v>500216</v>
      </c>
      <c r="B1327" s="19" t="inlineStr">
        <is>
          <t>Pintura de tuberia y aseo bodega</t>
        </is>
      </c>
      <c r="C1327" s="19" t="inlineStr">
        <is>
          <t>hora</t>
        </is>
      </c>
      <c r="E1327" s="19" t="n">
        <v>500216</v>
      </c>
    </row>
    <row r="1328">
      <c r="A1328" s="19" t="n">
        <v>500217</v>
      </c>
      <c r="B1328" s="19" t="inlineStr">
        <is>
          <t>Aplicacion de herbicida El Refugio por hora</t>
        </is>
      </c>
      <c r="C1328" s="19" t="inlineStr">
        <is>
          <t>hora</t>
        </is>
      </c>
      <c r="E1328" s="19" t="n">
        <v>500217</v>
      </c>
    </row>
    <row r="1329">
      <c r="A1329" s="19" t="n">
        <v>500218</v>
      </c>
      <c r="B1329" s="19" t="inlineStr">
        <is>
          <t>Alineacion para siembra</t>
        </is>
      </c>
      <c r="C1329" s="19" t="inlineStr">
        <is>
          <t>hora</t>
        </is>
      </c>
      <c r="E1329" s="19" t="n">
        <v>500218</v>
      </c>
    </row>
    <row r="1330">
      <c r="A1330" s="19" t="n">
        <v>500219</v>
      </c>
      <c r="B1330" s="19" t="inlineStr">
        <is>
          <t>Limpia de linderos</t>
        </is>
      </c>
      <c r="C1330" s="19" t="inlineStr">
        <is>
          <t>metro</t>
        </is>
      </c>
      <c r="E1330" s="19" t="n">
        <v>500219</v>
      </c>
    </row>
    <row r="1331">
      <c r="A1331" s="19" t="n">
        <v>500220</v>
      </c>
      <c r="B1331" s="19" t="inlineStr">
        <is>
          <t>Limpia de piscina de riego</t>
        </is>
      </c>
      <c r="C1331" s="19" t="inlineStr">
        <is>
          <t>hora</t>
        </is>
      </c>
      <c r="E1331" s="19" t="n">
        <v>500220</v>
      </c>
    </row>
    <row r="1332">
      <c r="A1332" s="19" t="n">
        <v>500221</v>
      </c>
      <c r="B1332" s="19" t="inlineStr">
        <is>
          <t>Fumigacion Elizabeth</t>
        </is>
      </c>
      <c r="C1332" s="19" t="inlineStr">
        <is>
          <t>hectarea</t>
        </is>
      </c>
      <c r="E1332" s="19" t="n">
        <v>500221</v>
      </c>
    </row>
    <row r="1333">
      <c r="A1333" s="19" t="n">
        <v>500222</v>
      </c>
      <c r="B1333" s="19" t="inlineStr">
        <is>
          <t>Alineacion de plantillas</t>
        </is>
      </c>
      <c r="C1333" s="19" t="inlineStr">
        <is>
          <t>hora</t>
        </is>
      </c>
      <c r="E1333" s="19" t="n">
        <v>500222</v>
      </c>
    </row>
    <row r="1334">
      <c r="A1334" s="19" t="n">
        <v>500223</v>
      </c>
      <c r="B1334" s="19" t="inlineStr">
        <is>
          <t>Celaduria nocturna</t>
        </is>
      </c>
      <c r="C1334" s="19" t="inlineStr">
        <is>
          <t>hora</t>
        </is>
      </c>
      <c r="E1334" s="19" t="n">
        <v>500223</v>
      </c>
    </row>
    <row r="1335">
      <c r="A1335" s="19" t="n">
        <v>500224</v>
      </c>
      <c r="B1335" s="19" t="inlineStr">
        <is>
          <t>Conteo de aspersores</t>
        </is>
      </c>
      <c r="C1335" s="19" t="inlineStr">
        <is>
          <t>hora</t>
        </is>
      </c>
      <c r="E1335" s="19" t="n">
        <v>500224</v>
      </c>
    </row>
    <row r="1336">
      <c r="A1336" s="19" t="n">
        <v>500225</v>
      </c>
      <c r="B1336" s="19" t="inlineStr">
        <is>
          <t>Preparacion de suelos</t>
        </is>
      </c>
      <c r="C1336" s="19" t="inlineStr">
        <is>
          <t>hora</t>
        </is>
      </c>
      <c r="E1336" s="19" t="n">
        <v>500225</v>
      </c>
    </row>
    <row r="1337">
      <c r="A1337" s="19" t="n">
        <v>500226</v>
      </c>
      <c r="B1337" s="19" t="inlineStr">
        <is>
          <t>Ayudante de cable via</t>
        </is>
      </c>
      <c r="C1337" s="19" t="inlineStr">
        <is>
          <t>hora</t>
        </is>
      </c>
      <c r="E1337" s="19" t="n">
        <v>500226</v>
      </c>
    </row>
    <row r="1338">
      <c r="A1338" s="19" t="n">
        <v>500227</v>
      </c>
      <c r="B1338" s="19" t="inlineStr">
        <is>
          <t>Calibracion de bomba</t>
        </is>
      </c>
      <c r="C1338" s="19" t="inlineStr">
        <is>
          <t>hora</t>
        </is>
      </c>
      <c r="E1338" s="19" t="n">
        <v>500227</v>
      </c>
    </row>
    <row r="1339">
      <c r="A1339" s="19" t="n">
        <v>500228</v>
      </c>
      <c r="B1339" s="19" t="inlineStr">
        <is>
          <t>Aplicacion de compost</t>
        </is>
      </c>
      <c r="C1339" s="19" t="inlineStr">
        <is>
          <t>hectarea</t>
        </is>
      </c>
      <c r="E1339" s="19" t="n">
        <v>500228</v>
      </c>
    </row>
    <row r="1340">
      <c r="A1340" s="19" t="n">
        <v>500229</v>
      </c>
      <c r="B1340" s="19" t="inlineStr">
        <is>
          <t>Capacitacion</t>
        </is>
      </c>
      <c r="C1340" s="19" t="inlineStr">
        <is>
          <t>hora</t>
        </is>
      </c>
      <c r="E1340" s="19" t="n">
        <v>500229</v>
      </c>
    </row>
    <row r="1341">
      <c r="A1341" s="19" t="n">
        <v>500230</v>
      </c>
      <c r="B1341" s="19" t="inlineStr">
        <is>
          <t>Adecuacion de tuberias</t>
        </is>
      </c>
      <c r="C1341" s="19" t="inlineStr">
        <is>
          <t>hora</t>
        </is>
      </c>
      <c r="E1341" s="19" t="n">
        <v>500230</v>
      </c>
    </row>
    <row r="1342">
      <c r="A1342" s="19" t="n">
        <v>500231</v>
      </c>
      <c r="B1342" s="19" t="inlineStr">
        <is>
          <t>Hechura de desagüe</t>
        </is>
      </c>
      <c r="C1342" s="19" t="inlineStr">
        <is>
          <t>hora</t>
        </is>
      </c>
      <c r="E1342" s="19" t="n">
        <v>500231</v>
      </c>
    </row>
    <row r="1343">
      <c r="A1343" s="19" t="n">
        <v>500232</v>
      </c>
      <c r="B1343" s="19" t="inlineStr">
        <is>
          <t>Corte de madera para estaca</t>
        </is>
      </c>
      <c r="C1343" s="19" t="inlineStr">
        <is>
          <t>hora</t>
        </is>
      </c>
      <c r="E1343" s="19" t="n">
        <v>500232</v>
      </c>
    </row>
    <row r="1344">
      <c r="A1344" s="19" t="n">
        <v>500233</v>
      </c>
      <c r="B1344" s="19" t="inlineStr">
        <is>
          <t>Tapada de canal</t>
        </is>
      </c>
      <c r="C1344" s="19" t="inlineStr">
        <is>
          <t>hora</t>
        </is>
      </c>
      <c r="E1344" s="19" t="n">
        <v>500233</v>
      </c>
    </row>
    <row r="1345">
      <c r="A1345" s="19" t="n">
        <v>500234</v>
      </c>
      <c r="B1345" s="19" t="inlineStr">
        <is>
          <t>Desagüe de canal</t>
        </is>
      </c>
      <c r="C1345" s="19" t="inlineStr">
        <is>
          <t>hora</t>
        </is>
      </c>
      <c r="E1345" s="19" t="n">
        <v>500234</v>
      </c>
    </row>
    <row r="1346">
      <c r="A1346" s="19" t="n">
        <v>500235</v>
      </c>
      <c r="B1346" s="19" t="inlineStr">
        <is>
          <t>Terminacion de contrato</t>
        </is>
      </c>
      <c r="C1346" s="19" t="inlineStr">
        <is>
          <t>hora</t>
        </is>
      </c>
      <c r="E1346" s="19" t="n">
        <v>500235</v>
      </c>
    </row>
    <row r="1347">
      <c r="A1347" s="19" t="n">
        <v>500236</v>
      </c>
      <c r="B1347" s="19" t="inlineStr">
        <is>
          <t>Aplicacion foliar proyecto</t>
        </is>
      </c>
      <c r="C1347" s="19" t="inlineStr">
        <is>
          <t>hora</t>
        </is>
      </c>
      <c r="E1347" s="19" t="n">
        <v>500236</v>
      </c>
    </row>
    <row r="1348">
      <c r="A1348" s="19" t="n">
        <v>500237</v>
      </c>
      <c r="B1348" s="19" t="inlineStr">
        <is>
          <t>Seleccion fertiliza spalderos</t>
        </is>
      </c>
      <c r="C1348" s="19" t="inlineStr">
        <is>
          <t>hora</t>
        </is>
      </c>
      <c r="E1348" s="19" t="n">
        <v>500237</v>
      </c>
    </row>
    <row r="1349">
      <c r="A1349" s="19" t="n">
        <v>500238</v>
      </c>
      <c r="B1349" s="19" t="inlineStr">
        <is>
          <t>Sacada de semillas</t>
        </is>
      </c>
      <c r="C1349" s="19" t="inlineStr">
        <is>
          <t>hora</t>
        </is>
      </c>
      <c r="E1349" s="19" t="n">
        <v>500238</v>
      </c>
    </row>
    <row r="1350">
      <c r="A1350" s="19" t="n">
        <v>500239</v>
      </c>
      <c r="B1350" s="19" t="inlineStr">
        <is>
          <t>Fumigacion en plantilla</t>
        </is>
      </c>
      <c r="C1350" s="19" t="inlineStr">
        <is>
          <t>hora</t>
        </is>
      </c>
      <c r="E1350" s="19" t="n">
        <v>500239</v>
      </c>
    </row>
    <row r="1351">
      <c r="A1351" s="19" t="n">
        <v>500240</v>
      </c>
      <c r="B1351" s="19" t="inlineStr">
        <is>
          <t>Aporque de plantilla al dia</t>
        </is>
      </c>
      <c r="C1351" s="19" t="inlineStr">
        <is>
          <t>hora</t>
        </is>
      </c>
      <c r="E1351" s="19" t="n">
        <v>500240</v>
      </c>
    </row>
    <row r="1352">
      <c r="A1352" s="19" t="n">
        <v>500241</v>
      </c>
      <c r="B1352" s="19" t="inlineStr">
        <is>
          <t>Aplicacion foliar al dia</t>
        </is>
      </c>
      <c r="C1352" s="19" t="inlineStr">
        <is>
          <t>hora</t>
        </is>
      </c>
      <c r="E1352" s="19" t="n">
        <v>500241</v>
      </c>
    </row>
    <row r="1353">
      <c r="A1353" s="19" t="n">
        <v>500242</v>
      </c>
      <c r="B1353" s="19" t="inlineStr">
        <is>
          <t>Aplicacion de abotek</t>
        </is>
      </c>
      <c r="C1353" s="19" t="inlineStr">
        <is>
          <t>hora</t>
        </is>
      </c>
      <c r="E1353" s="19" t="n">
        <v>500242</v>
      </c>
    </row>
    <row r="1354">
      <c r="A1354" s="19" t="n">
        <v>500243</v>
      </c>
      <c r="B1354" s="19" t="inlineStr">
        <is>
          <t>Reconstruccion de tuberia</t>
        </is>
      </c>
      <c r="C1354" s="19" t="inlineStr">
        <is>
          <t>hora</t>
        </is>
      </c>
      <c r="E1354" s="19" t="n">
        <v>500243</v>
      </c>
    </row>
    <row r="1355">
      <c r="A1355" s="19" t="n">
        <v>500244</v>
      </c>
      <c r="B1355" s="19" t="inlineStr">
        <is>
          <t>Fumigacion nutrifoliar y dithane</t>
        </is>
      </c>
      <c r="C1355" s="19" t="inlineStr">
        <is>
          <t>hora</t>
        </is>
      </c>
      <c r="E1355" s="19" t="n">
        <v>500244</v>
      </c>
    </row>
    <row r="1356">
      <c r="A1356" s="19" t="n">
        <v>500245</v>
      </c>
      <c r="B1356" s="19" t="inlineStr">
        <is>
          <t>Deshoje de plantilla</t>
        </is>
      </c>
      <c r="C1356" s="19" t="inlineStr">
        <is>
          <t>hectarea</t>
        </is>
      </c>
      <c r="E1356" s="19" t="n">
        <v>500245</v>
      </c>
    </row>
    <row r="1357">
      <c r="A1357" s="19" t="n">
        <v>500246</v>
      </c>
      <c r="B1357" s="19" t="inlineStr">
        <is>
          <t>Hechura de alberca</t>
        </is>
      </c>
      <c r="C1357" s="19" t="inlineStr">
        <is>
          <t>hora</t>
        </is>
      </c>
      <c r="E1357" s="19" t="n">
        <v>500246</v>
      </c>
    </row>
    <row r="1358">
      <c r="A1358" s="19" t="n">
        <v>500247</v>
      </c>
      <c r="B1358" s="19" t="inlineStr">
        <is>
          <t>Deshermane</t>
        </is>
      </c>
      <c r="C1358" s="19" t="inlineStr">
        <is>
          <t>hectarea</t>
        </is>
      </c>
      <c r="E1358" s="19" t="n">
        <v>500247</v>
      </c>
    </row>
    <row r="1359">
      <c r="A1359" s="19" t="n">
        <v>500248</v>
      </c>
      <c r="B1359" s="19" t="inlineStr">
        <is>
          <t>Fumigacion de herbicida</t>
        </is>
      </c>
      <c r="C1359" s="19" t="inlineStr">
        <is>
          <t>hora</t>
        </is>
      </c>
      <c r="E1359" s="19" t="n">
        <v>500248</v>
      </c>
    </row>
    <row r="1360">
      <c r="A1360" s="19" t="n">
        <v>500249</v>
      </c>
      <c r="B1360" s="19" t="inlineStr">
        <is>
          <t>Mantenimiento de vivero</t>
        </is>
      </c>
      <c r="C1360" s="19" t="inlineStr">
        <is>
          <t>hora</t>
        </is>
      </c>
      <c r="E1360" s="19" t="n">
        <v>500249</v>
      </c>
    </row>
    <row r="1361">
      <c r="A1361" s="19" t="n">
        <v>500250</v>
      </c>
      <c r="B1361" s="19" t="inlineStr">
        <is>
          <t>Quitada de techo</t>
        </is>
      </c>
      <c r="C1361" s="19" t="inlineStr">
        <is>
          <t>hora</t>
        </is>
      </c>
      <c r="E1361" s="19" t="n">
        <v>500250</v>
      </c>
    </row>
    <row r="1362">
      <c r="A1362" s="19" t="n">
        <v>500251</v>
      </c>
      <c r="B1362" s="19" t="inlineStr">
        <is>
          <t>Predesmache</t>
        </is>
      </c>
      <c r="C1362" s="19" t="inlineStr">
        <is>
          <t>hora</t>
        </is>
      </c>
      <c r="E1362" s="19" t="n">
        <v>500251</v>
      </c>
    </row>
    <row r="1363">
      <c r="A1363" s="19" t="n">
        <v>500252</v>
      </c>
      <c r="B1363" s="19" t="inlineStr">
        <is>
          <t>Mant. de retroexcabadora</t>
        </is>
      </c>
      <c r="C1363" s="19" t="inlineStr">
        <is>
          <t>hora</t>
        </is>
      </c>
      <c r="E1363" s="19" t="n">
        <v>500252</v>
      </c>
    </row>
    <row r="1364">
      <c r="A1364" s="19" t="n">
        <v>500253</v>
      </c>
      <c r="B1364" s="19" t="inlineStr">
        <is>
          <t>Estaquillado de plantas</t>
        </is>
      </c>
      <c r="C1364" s="19" t="inlineStr">
        <is>
          <t>hora</t>
        </is>
      </c>
      <c r="E1364" s="19" t="n">
        <v>500253</v>
      </c>
    </row>
    <row r="1365">
      <c r="A1365" s="19" t="n">
        <v>500254</v>
      </c>
      <c r="B1365" s="19" t="inlineStr">
        <is>
          <t>Parcela administrativa</t>
        </is>
      </c>
      <c r="C1365" s="19" t="inlineStr">
        <is>
          <t>hora</t>
        </is>
      </c>
      <c r="E1365" s="19" t="n">
        <v>500254</v>
      </c>
    </row>
    <row r="1366">
      <c r="A1366" s="19" t="n">
        <v>500255</v>
      </c>
      <c r="B1366" s="19" t="inlineStr">
        <is>
          <t>Horas. pend. herb. dominical</t>
        </is>
      </c>
      <c r="C1366" s="19" t="inlineStr">
        <is>
          <t>hora</t>
        </is>
      </c>
      <c r="E1366" s="19" t="n">
        <v>500255</v>
      </c>
    </row>
    <row r="1367">
      <c r="A1367" s="19" t="n">
        <v>500256</v>
      </c>
      <c r="B1367" s="19" t="inlineStr">
        <is>
          <t>Sacada de tuberia al dia</t>
        </is>
      </c>
      <c r="C1367" s="19" t="inlineStr">
        <is>
          <t>hora</t>
        </is>
      </c>
      <c r="E1367" s="19" t="n">
        <v>500256</v>
      </c>
    </row>
    <row r="1368">
      <c r="A1368" s="19" t="n">
        <v>500257</v>
      </c>
      <c r="B1368" s="19" t="inlineStr">
        <is>
          <t>Acarreo de gallinaza</t>
        </is>
      </c>
      <c r="C1368" s="19" t="inlineStr">
        <is>
          <t>hora</t>
        </is>
      </c>
      <c r="E1368" s="19" t="n">
        <v>500257</v>
      </c>
    </row>
    <row r="1369">
      <c r="A1369" s="19" t="n">
        <v>500258</v>
      </c>
      <c r="B1369" s="19" t="inlineStr">
        <is>
          <t>Tumba de area para siembra</t>
        </is>
      </c>
      <c r="C1369" s="19" t="inlineStr">
        <is>
          <t>hora</t>
        </is>
      </c>
      <c r="E1369" s="19" t="n">
        <v>500258</v>
      </c>
    </row>
    <row r="1370">
      <c r="A1370" s="19" t="n">
        <v>500259</v>
      </c>
      <c r="B1370" s="19" t="inlineStr">
        <is>
          <t>Incapacidad por accidente</t>
        </is>
      </c>
      <c r="C1370" s="19" t="inlineStr">
        <is>
          <t>hora</t>
        </is>
      </c>
      <c r="E1370" s="19" t="n">
        <v>500259</v>
      </c>
    </row>
    <row r="1371">
      <c r="A1371" s="19" t="n">
        <v>500260</v>
      </c>
      <c r="B1371" s="19" t="inlineStr">
        <is>
          <t>Aplicacion de herbicida al dia</t>
        </is>
      </c>
      <c r="C1371" s="19" t="inlineStr">
        <is>
          <t>hora</t>
        </is>
      </c>
      <c r="E1371" s="19" t="n">
        <v>500260</v>
      </c>
    </row>
    <row r="1372">
      <c r="A1372" s="19" t="n">
        <v>500261</v>
      </c>
      <c r="B1372" s="19" t="inlineStr">
        <is>
          <t>Celaduria festivo</t>
        </is>
      </c>
      <c r="C1372" s="19" t="inlineStr">
        <is>
          <t>hora</t>
        </is>
      </c>
      <c r="E1372" s="19" t="n">
        <v>500261</v>
      </c>
    </row>
    <row r="1373">
      <c r="A1373" s="19" t="n">
        <v>500262</v>
      </c>
      <c r="B1373" s="19" t="inlineStr">
        <is>
          <t>Desmache al dia</t>
        </is>
      </c>
      <c r="C1373" s="19" t="inlineStr">
        <is>
          <t>hora</t>
        </is>
      </c>
      <c r="E1373" s="19" t="n">
        <v>500262</v>
      </c>
    </row>
    <row r="1374">
      <c r="A1374" s="19" t="n">
        <v>500263</v>
      </c>
      <c r="B1374" s="19" t="inlineStr">
        <is>
          <t>Celaduria dominical</t>
        </is>
      </c>
      <c r="C1374" s="19" t="inlineStr">
        <is>
          <t>hora</t>
        </is>
      </c>
      <c r="E1374" s="19" t="n">
        <v>500263</v>
      </c>
    </row>
    <row r="1375">
      <c r="A1375" s="19" t="n">
        <v>500264</v>
      </c>
      <c r="B1375" s="19" t="inlineStr">
        <is>
          <t>Oficios varios festivo</t>
        </is>
      </c>
      <c r="C1375" s="19" t="inlineStr">
        <is>
          <t>hora</t>
        </is>
      </c>
      <c r="E1375" s="19" t="n">
        <v>500264</v>
      </c>
    </row>
    <row r="1376">
      <c r="A1376" s="19" t="n">
        <v>500265</v>
      </c>
      <c r="B1376" s="19" t="inlineStr">
        <is>
          <t>Supervisor de corte festivo</t>
        </is>
      </c>
      <c r="C1376" s="19" t="inlineStr">
        <is>
          <t>hora</t>
        </is>
      </c>
      <c r="E1376" s="19" t="n">
        <v>500265</v>
      </c>
    </row>
    <row r="1377">
      <c r="A1377" s="19" t="n">
        <v>500266</v>
      </c>
      <c r="B1377" s="19" t="inlineStr">
        <is>
          <t>Inspector de corte festivo</t>
        </is>
      </c>
      <c r="C1377" s="19" t="inlineStr">
        <is>
          <t>unidad</t>
        </is>
      </c>
      <c r="E1377" s="19" t="n">
        <v>500266</v>
      </c>
    </row>
    <row r="1378">
      <c r="A1378" s="19" t="n">
        <v>500267</v>
      </c>
      <c r="B1378" s="19" t="inlineStr">
        <is>
          <t>Cosntruccion de puente</t>
        </is>
      </c>
      <c r="C1378" s="19" t="inlineStr">
        <is>
          <t>hora</t>
        </is>
      </c>
      <c r="E1378" s="19" t="n">
        <v>500267</v>
      </c>
    </row>
    <row r="1379">
      <c r="A1379" s="19" t="n">
        <v>500268</v>
      </c>
      <c r="B1379" s="19" t="inlineStr">
        <is>
          <t>Rastrillado de canales</t>
        </is>
      </c>
      <c r="C1379" s="19" t="inlineStr">
        <is>
          <t>unidad</t>
        </is>
      </c>
      <c r="E1379" s="19" t="n">
        <v>500268</v>
      </c>
    </row>
    <row r="1380">
      <c r="A1380" s="19" t="n">
        <v>500269</v>
      </c>
      <c r="B1380" s="19" t="inlineStr">
        <is>
          <t>Transporte de insumos y carton</t>
        </is>
      </c>
      <c r="C1380" s="19" t="inlineStr">
        <is>
          <t>hora</t>
        </is>
      </c>
      <c r="E1380" s="19" t="n">
        <v>500269</v>
      </c>
    </row>
    <row r="1381">
      <c r="A1381" s="19" t="n">
        <v>500270</v>
      </c>
      <c r="B1381" s="19" t="inlineStr">
        <is>
          <t>Saldo pendiente corte</t>
        </is>
      </c>
      <c r="C1381" s="19" t="inlineStr">
        <is>
          <t>unidad</t>
        </is>
      </c>
      <c r="E1381" s="19" t="n">
        <v>500270</v>
      </c>
    </row>
    <row r="1382">
      <c r="A1382" s="19" t="n">
        <v>500271</v>
      </c>
      <c r="B1382" s="19" t="inlineStr">
        <is>
          <t>Marcacion canales</t>
        </is>
      </c>
      <c r="C1382" s="19" t="inlineStr">
        <is>
          <t>hora</t>
        </is>
      </c>
      <c r="E1382" s="19" t="n">
        <v>500271</v>
      </c>
    </row>
    <row r="1383">
      <c r="A1383" s="19" t="n">
        <v>500273</v>
      </c>
      <c r="B1383" s="19" t="inlineStr">
        <is>
          <t>Saldo pendiente desmache</t>
        </is>
      </c>
      <c r="C1383" s="19" t="inlineStr">
        <is>
          <t>hectarea</t>
        </is>
      </c>
      <c r="E1383" s="19" t="n">
        <v>500273</v>
      </c>
    </row>
    <row r="1384">
      <c r="A1384" s="19" t="n">
        <v>500274</v>
      </c>
      <c r="B1384" s="19" t="inlineStr">
        <is>
          <t>Menor valor pagado dominical</t>
        </is>
      </c>
      <c r="C1384" s="19" t="inlineStr">
        <is>
          <t>hora</t>
        </is>
      </c>
      <c r="E1384" s="19" t="n">
        <v>500274</v>
      </c>
    </row>
    <row r="1385">
      <c r="A1385" s="19" t="n">
        <v>500276</v>
      </c>
      <c r="B1385" s="19" t="inlineStr">
        <is>
          <t>Oper. retroescav. sena</t>
        </is>
      </c>
      <c r="C1385" s="19" t="inlineStr">
        <is>
          <t>unidad</t>
        </is>
      </c>
      <c r="E1385" s="19" t="n">
        <v>500276</v>
      </c>
    </row>
    <row r="1386">
      <c r="A1386" s="19" t="n">
        <v>500277</v>
      </c>
      <c r="B1386" s="19" t="inlineStr">
        <is>
          <t>Corte al dia</t>
        </is>
      </c>
      <c r="C1386" s="19" t="inlineStr">
        <is>
          <t>hora</t>
        </is>
      </c>
      <c r="E1386" s="19" t="n">
        <v>500277</v>
      </c>
    </row>
    <row r="1387">
      <c r="A1387" s="19" t="n">
        <v>500278</v>
      </c>
      <c r="B1387" s="19" t="inlineStr">
        <is>
          <t>Tapada de sanja</t>
        </is>
      </c>
      <c r="C1387" s="19" t="inlineStr">
        <is>
          <t>metro</t>
        </is>
      </c>
      <c r="E1387" s="19" t="n">
        <v>500278</v>
      </c>
    </row>
    <row r="1388">
      <c r="A1388" s="19" t="n">
        <v>500279</v>
      </c>
      <c r="B1388" s="19" t="inlineStr">
        <is>
          <t>Llenada de bolsas vivero</t>
        </is>
      </c>
      <c r="C1388" s="19" t="inlineStr">
        <is>
          <t>unidad</t>
        </is>
      </c>
      <c r="E1388" s="19" t="n">
        <v>500279</v>
      </c>
    </row>
    <row r="1389">
      <c r="A1389" s="19" t="n">
        <v>500280</v>
      </c>
      <c r="B1389" s="19" t="inlineStr">
        <is>
          <t>Descargue de insumos</t>
        </is>
      </c>
      <c r="C1389" s="19" t="inlineStr">
        <is>
          <t>hora</t>
        </is>
      </c>
      <c r="E1389" s="19" t="n">
        <v>500280</v>
      </c>
    </row>
    <row r="1390">
      <c r="A1390" s="19" t="n">
        <v>500281</v>
      </c>
      <c r="B1390" s="19" t="inlineStr">
        <is>
          <t>Sacada de relleno</t>
        </is>
      </c>
      <c r="C1390" s="19" t="inlineStr">
        <is>
          <t>hora</t>
        </is>
      </c>
      <c r="E1390" s="19" t="n">
        <v>500281</v>
      </c>
    </row>
    <row r="1391">
      <c r="A1391" s="19" t="n">
        <v>500282</v>
      </c>
      <c r="B1391" s="19" t="inlineStr">
        <is>
          <t>Construccion de alberca</t>
        </is>
      </c>
      <c r="C1391" s="19" t="inlineStr">
        <is>
          <t>hora</t>
        </is>
      </c>
      <c r="E1391" s="19" t="n">
        <v>500282</v>
      </c>
    </row>
    <row r="1392">
      <c r="A1392" s="19" t="n">
        <v>500283</v>
      </c>
      <c r="B1392" s="19" t="inlineStr">
        <is>
          <t>Arreglo de daipa</t>
        </is>
      </c>
      <c r="C1392" s="19" t="inlineStr">
        <is>
          <t>hora</t>
        </is>
      </c>
      <c r="E1392" s="19" t="n">
        <v>500283</v>
      </c>
    </row>
    <row r="1393">
      <c r="A1393" s="19" t="n">
        <v>500284</v>
      </c>
      <c r="B1393" s="19" t="inlineStr">
        <is>
          <t>Adecuacion de bodega</t>
        </is>
      </c>
      <c r="C1393" s="19" t="inlineStr">
        <is>
          <t>hora</t>
        </is>
      </c>
      <c r="E1393" s="19" t="n">
        <v>500284</v>
      </c>
    </row>
    <row r="1394">
      <c r="A1394" s="19" t="n">
        <v>500285</v>
      </c>
      <c r="B1394" s="19" t="inlineStr">
        <is>
          <t>Oper. retro dominical</t>
        </is>
      </c>
      <c r="C1394" s="19" t="inlineStr">
        <is>
          <t>hora</t>
        </is>
      </c>
      <c r="E1394" s="19" t="n">
        <v>500285</v>
      </c>
    </row>
    <row r="1395">
      <c r="A1395" s="19" t="n">
        <v>500286</v>
      </c>
      <c r="B1395" s="19" t="inlineStr">
        <is>
          <t>Operador retro dominical</t>
        </is>
      </c>
      <c r="C1395" s="19" t="inlineStr">
        <is>
          <t>hora</t>
        </is>
      </c>
      <c r="E1395" s="19" t="n">
        <v>500286</v>
      </c>
    </row>
    <row r="1396">
      <c r="A1396" s="19" t="n">
        <v>500287</v>
      </c>
      <c r="B1396" s="19" t="inlineStr">
        <is>
          <t>Ayudante de albañil</t>
        </is>
      </c>
      <c r="C1396" s="19" t="inlineStr">
        <is>
          <t>hora</t>
        </is>
      </c>
      <c r="E1396" s="19" t="n">
        <v>500287</v>
      </c>
    </row>
    <row r="1397">
      <c r="A1397" s="19" t="n">
        <v>500288</v>
      </c>
      <c r="B1397" s="19" t="inlineStr">
        <is>
          <t>Realce al dia</t>
        </is>
      </c>
      <c r="C1397" s="19" t="inlineStr">
        <is>
          <t>hora</t>
        </is>
      </c>
      <c r="E1397" s="19" t="n">
        <v>500288</v>
      </c>
    </row>
    <row r="1398">
      <c r="A1398" s="19" t="n">
        <v>500289</v>
      </c>
      <c r="B1398" s="19" t="inlineStr">
        <is>
          <t>Escavacion de tuberia</t>
        </is>
      </c>
      <c r="C1398" s="19" t="inlineStr">
        <is>
          <t>hora</t>
        </is>
      </c>
      <c r="E1398" s="19" t="n">
        <v>500289</v>
      </c>
    </row>
    <row r="1399">
      <c r="A1399" s="19" t="n">
        <v>500290</v>
      </c>
      <c r="B1399" s="19" t="inlineStr">
        <is>
          <t>Tapada de tuberia</t>
        </is>
      </c>
      <c r="C1399" s="19" t="inlineStr">
        <is>
          <t>hora</t>
        </is>
      </c>
      <c r="E1399" s="19" t="n">
        <v>500290</v>
      </c>
    </row>
    <row r="1400">
      <c r="A1400" s="19" t="n">
        <v>500291</v>
      </c>
      <c r="B1400" s="19" t="inlineStr">
        <is>
          <t>Arreglo de techo</t>
        </is>
      </c>
      <c r="C1400" s="19" t="inlineStr">
        <is>
          <t>hora</t>
        </is>
      </c>
      <c r="E1400" s="19" t="n">
        <v>500291</v>
      </c>
    </row>
    <row r="1401">
      <c r="A1401" s="19" t="n">
        <v>500292</v>
      </c>
      <c r="B1401" s="19" t="inlineStr">
        <is>
          <t>Tapada de zanja</t>
        </is>
      </c>
      <c r="C1401" s="19" t="inlineStr">
        <is>
          <t>hora</t>
        </is>
      </c>
      <c r="E1401" s="19" t="n">
        <v>500292</v>
      </c>
    </row>
    <row r="1402">
      <c r="A1402" s="19" t="n">
        <v>500293</v>
      </c>
      <c r="B1402" s="19" t="inlineStr">
        <is>
          <t>Celaduria nocturna festivo</t>
        </is>
      </c>
      <c r="C1402" s="19" t="inlineStr">
        <is>
          <t>hora</t>
        </is>
      </c>
      <c r="E1402" s="19" t="n">
        <v>500293</v>
      </c>
    </row>
    <row r="1403">
      <c r="A1403" s="19" t="n">
        <v>500293</v>
      </c>
      <c r="B1403" s="19" t="inlineStr">
        <is>
          <t>Celaduria nocturna festivo</t>
        </is>
      </c>
      <c r="C1403" s="19" t="inlineStr">
        <is>
          <t>hora</t>
        </is>
      </c>
      <c r="E1403" s="19" t="n">
        <v>500293</v>
      </c>
    </row>
    <row r="1404">
      <c r="A1404" s="19" t="n">
        <v>500294</v>
      </c>
      <c r="B1404" s="19" t="inlineStr">
        <is>
          <t>Precorte</t>
        </is>
      </c>
      <c r="C1404" s="19" t="inlineStr">
        <is>
          <t>hora</t>
        </is>
      </c>
      <c r="E1404" s="19" t="n">
        <v>500294</v>
      </c>
    </row>
    <row r="1405">
      <c r="A1405" s="19" t="n">
        <v>500295</v>
      </c>
      <c r="B1405" s="19" t="inlineStr">
        <is>
          <t>Descargue de gravilla festivo</t>
        </is>
      </c>
      <c r="C1405" s="19" t="inlineStr">
        <is>
          <t>hora</t>
        </is>
      </c>
      <c r="E1405" s="19" t="n">
        <v>500295</v>
      </c>
    </row>
    <row r="1406">
      <c r="A1406" s="19" t="n">
        <v>500296</v>
      </c>
      <c r="B1406" s="19" t="inlineStr">
        <is>
          <t>Sacada de fruta</t>
        </is>
      </c>
      <c r="C1406" s="19" t="inlineStr">
        <is>
          <t>hora</t>
        </is>
      </c>
      <c r="E1406" s="19" t="n">
        <v>500296</v>
      </c>
    </row>
    <row r="1407">
      <c r="A1407" s="19" t="n">
        <v>500297</v>
      </c>
      <c r="B1407" s="19" t="inlineStr">
        <is>
          <t>Arreglo de canal</t>
        </is>
      </c>
      <c r="C1407" s="19" t="inlineStr">
        <is>
          <t>hora</t>
        </is>
      </c>
      <c r="E1407" s="19" t="n">
        <v>500297</v>
      </c>
    </row>
    <row r="1408">
      <c r="A1408" s="19" t="n">
        <v>500298</v>
      </c>
      <c r="B1408" s="19" t="inlineStr">
        <is>
          <t>Arreglo de puentes</t>
        </is>
      </c>
      <c r="C1408" s="19" t="inlineStr">
        <is>
          <t>hora</t>
        </is>
      </c>
      <c r="E1408" s="19" t="n">
        <v>500298</v>
      </c>
    </row>
    <row r="1409">
      <c r="A1409" s="19" t="n">
        <v>500299</v>
      </c>
      <c r="B1409" s="19" t="inlineStr">
        <is>
          <t>Construccion de canal</t>
        </is>
      </c>
      <c r="C1409" s="19" t="inlineStr">
        <is>
          <t>metro</t>
        </is>
      </c>
      <c r="E1409" s="19" t="n">
        <v>500299</v>
      </c>
    </row>
    <row r="1410">
      <c r="A1410" s="19" t="n">
        <v>500300</v>
      </c>
      <c r="B1410" s="19" t="inlineStr">
        <is>
          <t>Hechura de puente</t>
        </is>
      </c>
      <c r="C1410" s="19" t="inlineStr">
        <is>
          <t>hora</t>
        </is>
      </c>
      <c r="E1410" s="19" t="n">
        <v>500300</v>
      </c>
    </row>
    <row r="1411">
      <c r="A1411" s="19" t="n">
        <v>500301</v>
      </c>
      <c r="B1411" s="19" t="inlineStr">
        <is>
          <t>Transporte de semillas</t>
        </is>
      </c>
      <c r="C1411" s="19" t="inlineStr">
        <is>
          <t>hora</t>
        </is>
      </c>
      <c r="E1411" s="19" t="n">
        <v>500301</v>
      </c>
    </row>
    <row r="1412">
      <c r="A1412" s="19" t="n">
        <v>500302</v>
      </c>
      <c r="B1412" s="19" t="inlineStr">
        <is>
          <t>Limpia con guadaña</t>
        </is>
      </c>
      <c r="C1412" s="19" t="inlineStr">
        <is>
          <t>hectarea</t>
        </is>
      </c>
      <c r="E1412" s="19" t="n">
        <v>500302</v>
      </c>
    </row>
    <row r="1413">
      <c r="A1413" s="19" t="n">
        <v>500304</v>
      </c>
      <c r="B1413" s="19" t="inlineStr">
        <is>
          <t>Tractorista</t>
        </is>
      </c>
      <c r="C1413" s="19" t="inlineStr">
        <is>
          <t>hora</t>
        </is>
      </c>
      <c r="E1413" s="19" t="n">
        <v>500304</v>
      </c>
    </row>
    <row r="1414">
      <c r="A1414" s="19" t="n">
        <v>500305</v>
      </c>
      <c r="B1414" s="19" t="inlineStr">
        <is>
          <t>Transbordo de cajas</t>
        </is>
      </c>
      <c r="C1414" s="19" t="inlineStr">
        <is>
          <t>hora</t>
        </is>
      </c>
      <c r="E1414" s="19" t="n">
        <v>500305</v>
      </c>
    </row>
    <row r="1415">
      <c r="A1415" s="19" t="n">
        <v>500306</v>
      </c>
      <c r="B1415" s="19" t="inlineStr">
        <is>
          <t>Limpia canal madrevieja</t>
        </is>
      </c>
      <c r="C1415" s="19" t="inlineStr">
        <is>
          <t>metro</t>
        </is>
      </c>
      <c r="E1415" s="19" t="n">
        <v>500306</v>
      </c>
    </row>
    <row r="1416">
      <c r="A1416" s="19" t="n">
        <v>500307</v>
      </c>
      <c r="B1416" s="19" t="inlineStr">
        <is>
          <t>Honorarios aux contable</t>
        </is>
      </c>
      <c r="C1416" s="19" t="inlineStr">
        <is>
          <t>dia</t>
        </is>
      </c>
      <c r="E1416" s="19" t="n">
        <v>500307</v>
      </c>
    </row>
    <row r="1417">
      <c r="A1417" s="19" t="n">
        <v>500308</v>
      </c>
      <c r="B1417" s="19" t="inlineStr">
        <is>
          <t>Inyeccion de matas</t>
        </is>
      </c>
      <c r="C1417" s="19" t="inlineStr">
        <is>
          <t>hora</t>
        </is>
      </c>
      <c r="E1417" s="19" t="n">
        <v>500308</v>
      </c>
    </row>
    <row r="1418">
      <c r="A1418" s="19" t="n">
        <v>500309</v>
      </c>
      <c r="B1418" s="19" t="inlineStr">
        <is>
          <t>Corte racimos caidos</t>
        </is>
      </c>
      <c r="C1418" s="19" t="inlineStr">
        <is>
          <t>hora</t>
        </is>
      </c>
      <c r="E1418" s="19" t="n">
        <v>500309</v>
      </c>
    </row>
    <row r="1419">
      <c r="A1419" s="19" t="n">
        <v>500310</v>
      </c>
      <c r="B1419" s="19" t="inlineStr">
        <is>
          <t>Construccion de canal secundario</t>
        </is>
      </c>
      <c r="C1419" s="19" t="inlineStr">
        <is>
          <t>metro</t>
        </is>
      </c>
      <c r="E1419" s="19" t="n">
        <v>500310</v>
      </c>
    </row>
    <row r="1420">
      <c r="A1420" s="19" t="n">
        <v>500311</v>
      </c>
      <c r="B1420" s="19" t="inlineStr">
        <is>
          <t>Construccion de canal proyecto</t>
        </is>
      </c>
      <c r="C1420" s="19" t="inlineStr">
        <is>
          <t>mts</t>
        </is>
      </c>
      <c r="E1420" s="19" t="n">
        <v>500311</v>
      </c>
    </row>
    <row r="1421">
      <c r="A1421" s="19" t="n">
        <v>500312</v>
      </c>
      <c r="B1421" s="19" t="inlineStr">
        <is>
          <t>Caciqueo</t>
        </is>
      </c>
      <c r="C1421" s="19" t="inlineStr">
        <is>
          <t>unidad</t>
        </is>
      </c>
      <c r="E1421" s="19" t="n">
        <v>500312</v>
      </c>
    </row>
    <row r="1422">
      <c r="A1422" s="19" t="n">
        <v>500313</v>
      </c>
      <c r="B1422" s="19" t="inlineStr">
        <is>
          <t>Trincheo al dia</t>
        </is>
      </c>
      <c r="C1422" s="19" t="inlineStr">
        <is>
          <t>hora</t>
        </is>
      </c>
      <c r="E1422" s="19" t="n">
        <v>500313</v>
      </c>
    </row>
    <row r="1423">
      <c r="A1423" s="19" t="n">
        <v>500314</v>
      </c>
      <c r="B1423" s="19" t="inlineStr">
        <is>
          <t>Moko</t>
        </is>
      </c>
      <c r="C1423" s="19" t="inlineStr">
        <is>
          <t>hora</t>
        </is>
      </c>
      <c r="E1423" s="19" t="n">
        <v>500314</v>
      </c>
    </row>
    <row r="1424">
      <c r="A1424" s="19" t="n">
        <v>500315</v>
      </c>
      <c r="B1424" s="19" t="inlineStr">
        <is>
          <t>Aplicacion con barreno por hora</t>
        </is>
      </c>
      <c r="C1424" s="19" t="inlineStr">
        <is>
          <t>hora</t>
        </is>
      </c>
      <c r="E1424" s="19" t="n">
        <v>500315</v>
      </c>
    </row>
    <row r="1425">
      <c r="A1425" s="19" t="n">
        <v>500316</v>
      </c>
      <c r="B1425" s="19" t="inlineStr">
        <is>
          <t>Definicion en plantilla</t>
        </is>
      </c>
      <c r="C1425" s="19" t="inlineStr">
        <is>
          <t>hora</t>
        </is>
      </c>
      <c r="E1425" s="19" t="n">
        <v>500316</v>
      </c>
    </row>
    <row r="1426">
      <c r="A1426" s="19" t="n">
        <v>500317</v>
      </c>
      <c r="B1426" s="19" t="inlineStr">
        <is>
          <t>Trapero quimico</t>
        </is>
      </c>
      <c r="C1426" s="19" t="inlineStr">
        <is>
          <t>hora</t>
        </is>
      </c>
      <c r="E1426" s="19" t="n">
        <v>500317</v>
      </c>
    </row>
    <row r="1427">
      <c r="A1427" s="19" t="n">
        <v>500318</v>
      </c>
      <c r="B1427" s="19" t="inlineStr">
        <is>
          <t>Auxiliar de cosecha</t>
        </is>
      </c>
      <c r="C1427" s="19" t="inlineStr">
        <is>
          <t>hora</t>
        </is>
      </c>
      <c r="E1427" s="19" t="n">
        <v>500318</v>
      </c>
    </row>
    <row r="1428">
      <c r="A1428" s="19" t="n">
        <v>500319</v>
      </c>
      <c r="B1428" s="19" t="inlineStr">
        <is>
          <t>Desbejuque</t>
        </is>
      </c>
      <c r="C1428" s="19" t="inlineStr">
        <is>
          <t>hectarea</t>
        </is>
      </c>
      <c r="E1428" s="19" t="n">
        <v>500319</v>
      </c>
    </row>
    <row r="1429">
      <c r="A1429" s="19" t="n">
        <v>500320</v>
      </c>
      <c r="B1429" s="19" t="inlineStr">
        <is>
          <t>Fertitrincheo</t>
        </is>
      </c>
      <c r="C1429" s="19" t="inlineStr">
        <is>
          <t>hora</t>
        </is>
      </c>
      <c r="E1429" s="19" t="n">
        <v>500320</v>
      </c>
    </row>
    <row r="1430">
      <c r="A1430" s="19" t="n">
        <v>500321</v>
      </c>
      <c r="B1430" s="19" t="inlineStr">
        <is>
          <t>Pegada de carton</t>
        </is>
      </c>
      <c r="C1430" s="19" t="inlineStr">
        <is>
          <t>hora</t>
        </is>
      </c>
      <c r="E1430" s="19" t="n">
        <v>500321</v>
      </c>
    </row>
    <row r="1431">
      <c r="A1431" s="19" t="n">
        <v>500322</v>
      </c>
      <c r="B1431" s="19" t="inlineStr">
        <is>
          <t>Manten. matas lentas</t>
        </is>
      </c>
      <c r="C1431" s="19" t="inlineStr">
        <is>
          <t>hora</t>
        </is>
      </c>
      <c r="E1431" s="19" t="n">
        <v>500322</v>
      </c>
    </row>
    <row r="1432">
      <c r="A1432" s="19" t="n">
        <v>500323</v>
      </c>
      <c r="B1432" s="19" t="inlineStr">
        <is>
          <t>Proteccion quema de sol</t>
        </is>
      </c>
      <c r="C1432" s="19" t="inlineStr">
        <is>
          <t>unidad</t>
        </is>
      </c>
      <c r="E1432" s="19" t="n">
        <v>500323</v>
      </c>
    </row>
    <row r="1433">
      <c r="A1433" s="19" t="n">
        <v>500324</v>
      </c>
      <c r="B1433" s="19" t="inlineStr">
        <is>
          <t>Ayudante de tractor</t>
        </is>
      </c>
      <c r="C1433" s="19" t="inlineStr">
        <is>
          <t>hora</t>
        </is>
      </c>
      <c r="E1433" s="19" t="n">
        <v>500324</v>
      </c>
    </row>
    <row r="1434">
      <c r="A1434" s="19" t="n">
        <v>500325</v>
      </c>
      <c r="B1434" s="19" t="inlineStr">
        <is>
          <t>Mantenimiento bomba</t>
        </is>
      </c>
      <c r="C1434" s="19" t="inlineStr">
        <is>
          <t>hora</t>
        </is>
      </c>
      <c r="E1434" s="19" t="n">
        <v>500325</v>
      </c>
    </row>
    <row r="1435">
      <c r="A1435" s="19" t="n">
        <v>500326</v>
      </c>
      <c r="B1435" s="19" t="inlineStr">
        <is>
          <t>Saldo pendiente control de maleza</t>
        </is>
      </c>
      <c r="C1435" s="19" t="inlineStr">
        <is>
          <t>unidad</t>
        </is>
      </c>
      <c r="E1435" s="19" t="n">
        <v>500326</v>
      </c>
    </row>
    <row r="1436">
      <c r="A1436" s="19" t="n">
        <v>500327</v>
      </c>
      <c r="B1436" s="19" t="inlineStr">
        <is>
          <t>Saldo pendiente aseo empacadora</t>
        </is>
      </c>
      <c r="C1436" s="19" t="inlineStr">
        <is>
          <t>hora</t>
        </is>
      </c>
      <c r="E1436" s="19" t="n">
        <v>500327</v>
      </c>
    </row>
    <row r="1437">
      <c r="A1437" s="19" t="n">
        <v>500328</v>
      </c>
      <c r="B1437" s="19" t="inlineStr">
        <is>
          <t>Podada de single</t>
        </is>
      </c>
      <c r="C1437" s="19" t="inlineStr">
        <is>
          <t>hora</t>
        </is>
      </c>
      <c r="E1437" s="19" t="n">
        <v>500328</v>
      </c>
    </row>
    <row r="1438">
      <c r="A1438" s="19" t="n">
        <v>500329</v>
      </c>
      <c r="B1438" s="19" t="inlineStr">
        <is>
          <t>Mantenimiento buldozer</t>
        </is>
      </c>
      <c r="C1438" s="19" t="inlineStr">
        <is>
          <t>hora</t>
        </is>
      </c>
      <c r="E1438" s="19" t="n">
        <v>500329</v>
      </c>
    </row>
    <row r="1439">
      <c r="A1439" s="19" t="n">
        <v>500330</v>
      </c>
      <c r="B1439" s="19" t="inlineStr">
        <is>
          <t>Cargue de tuberia</t>
        </is>
      </c>
      <c r="C1439" s="19" t="inlineStr">
        <is>
          <t>hora</t>
        </is>
      </c>
      <c r="E1439" s="19" t="n">
        <v>500330</v>
      </c>
    </row>
    <row r="1440">
      <c r="A1440" s="19" t="n">
        <v>500331</v>
      </c>
      <c r="B1440" s="19" t="inlineStr">
        <is>
          <t>Descanso compensatorio</t>
        </is>
      </c>
      <c r="C1440" s="19" t="inlineStr">
        <is>
          <t>hora</t>
        </is>
      </c>
      <c r="E1440" s="19" t="n">
        <v>500331</v>
      </c>
    </row>
    <row r="1441">
      <c r="A1441" s="19" t="n">
        <v>500332</v>
      </c>
      <c r="B1441" s="19" t="inlineStr">
        <is>
          <t>Mant. canal de riego</t>
        </is>
      </c>
      <c r="C1441" s="19" t="inlineStr">
        <is>
          <t>hora</t>
        </is>
      </c>
      <c r="E1441" s="19" t="n">
        <v>500332</v>
      </c>
    </row>
    <row r="1442">
      <c r="A1442" s="19" t="n">
        <v>500333</v>
      </c>
      <c r="B1442" s="19" t="inlineStr">
        <is>
          <t>Recogida de madera</t>
        </is>
      </c>
      <c r="C1442" s="19" t="inlineStr">
        <is>
          <t>hora</t>
        </is>
      </c>
      <c r="E1442" s="19" t="n">
        <v>500333</v>
      </c>
    </row>
    <row r="1443">
      <c r="A1443" s="19" t="n">
        <v>500334</v>
      </c>
      <c r="B1443" s="19" t="inlineStr">
        <is>
          <t>Operador de bulldozer</t>
        </is>
      </c>
      <c r="C1443" s="19" t="inlineStr">
        <is>
          <t>hora</t>
        </is>
      </c>
      <c r="E1443" s="19" t="n">
        <v>500334</v>
      </c>
    </row>
    <row r="1444">
      <c r="A1444" s="19" t="n">
        <v>500335</v>
      </c>
      <c r="B1444" s="19" t="inlineStr">
        <is>
          <t>Operador tractor</t>
        </is>
      </c>
      <c r="C1444" s="19" t="inlineStr">
        <is>
          <t>hora</t>
        </is>
      </c>
      <c r="E1444" s="19" t="n">
        <v>500335</v>
      </c>
    </row>
    <row r="1445">
      <c r="A1445" s="19" t="n">
        <v>500336</v>
      </c>
      <c r="B1445" s="19" t="inlineStr">
        <is>
          <t>Ayudante de retro</t>
        </is>
      </c>
      <c r="C1445" s="19" t="inlineStr">
        <is>
          <t>hora</t>
        </is>
      </c>
      <c r="E1445" s="19" t="n">
        <v>500336</v>
      </c>
    </row>
    <row r="1446">
      <c r="A1446" s="19" t="n">
        <v>500337</v>
      </c>
      <c r="B1446" s="19" t="inlineStr">
        <is>
          <t>Matas saludables</t>
        </is>
      </c>
      <c r="C1446" s="19" t="inlineStr">
        <is>
          <t>hora</t>
        </is>
      </c>
      <c r="E1446" s="19" t="n">
        <v>500337</v>
      </c>
    </row>
    <row r="1447">
      <c r="A1447" s="19" t="n">
        <v>500338</v>
      </c>
      <c r="B1447" s="19" t="inlineStr">
        <is>
          <t>Hechura de pase cola</t>
        </is>
      </c>
      <c r="C1447" s="19" t="inlineStr">
        <is>
          <t>hora</t>
        </is>
      </c>
      <c r="E1447" s="19" t="n">
        <v>500338</v>
      </c>
    </row>
    <row r="1448">
      <c r="A1448" s="19" t="n">
        <v>500339</v>
      </c>
      <c r="B1448" s="19" t="inlineStr">
        <is>
          <t>Coordinador produccion</t>
        </is>
      </c>
      <c r="C1448" s="19" t="inlineStr">
        <is>
          <t>hora</t>
        </is>
      </c>
      <c r="E1448" s="19" t="n">
        <v>500339</v>
      </c>
    </row>
    <row r="1449">
      <c r="A1449" s="19" t="n">
        <v>500340</v>
      </c>
      <c r="B1449" s="19" t="inlineStr">
        <is>
          <t>Tumbada de cerca</t>
        </is>
      </c>
      <c r="C1449" s="19" t="inlineStr">
        <is>
          <t>hora</t>
        </is>
      </c>
      <c r="E1449" s="19" t="n">
        <v>500340</v>
      </c>
    </row>
    <row r="1450">
      <c r="A1450" s="19" t="n">
        <v>500341</v>
      </c>
      <c r="B1450" s="19" t="inlineStr">
        <is>
          <t>Coordinador de empacadora</t>
        </is>
      </c>
      <c r="C1450" s="19" t="inlineStr">
        <is>
          <t>hora</t>
        </is>
      </c>
      <c r="E1450" s="19" t="n">
        <v>500341</v>
      </c>
    </row>
    <row r="1451">
      <c r="A1451" s="19" t="n">
        <v>500342</v>
      </c>
      <c r="B1451" s="19" t="inlineStr">
        <is>
          <t>Coordinador El Refugio</t>
        </is>
      </c>
      <c r="C1451" s="19" t="inlineStr">
        <is>
          <t>hora</t>
        </is>
      </c>
      <c r="E1451" s="19" t="n">
        <v>500342</v>
      </c>
    </row>
    <row r="1452">
      <c r="A1452" s="19" t="n">
        <v>500343</v>
      </c>
      <c r="B1452" s="19" t="inlineStr">
        <is>
          <t>Arranque de bejuco</t>
        </is>
      </c>
      <c r="C1452" s="19" t="inlineStr">
        <is>
          <t>hora</t>
        </is>
      </c>
      <c r="E1452" s="19" t="n">
        <v>500343</v>
      </c>
    </row>
    <row r="1453">
      <c r="A1453" s="19" t="n">
        <v>500344</v>
      </c>
      <c r="B1453" s="19" t="inlineStr">
        <is>
          <t>Arreglo de bolsas</t>
        </is>
      </c>
      <c r="C1453" s="19" t="inlineStr">
        <is>
          <t>hora</t>
        </is>
      </c>
      <c r="E1453" s="19" t="n">
        <v>500344</v>
      </c>
    </row>
    <row r="1454">
      <c r="A1454" s="19" t="n">
        <v>500345</v>
      </c>
      <c r="B1454" s="19" t="inlineStr">
        <is>
          <t>Hechura de cuneta</t>
        </is>
      </c>
      <c r="C1454" s="19" t="inlineStr">
        <is>
          <t>hora</t>
        </is>
      </c>
      <c r="E1454" s="19" t="n">
        <v>500345</v>
      </c>
    </row>
    <row r="1455">
      <c r="A1455" s="19" t="n">
        <v>500347</v>
      </c>
      <c r="B1455" s="19" t="inlineStr">
        <is>
          <t>Saldo pendiente parcela</t>
        </is>
      </c>
      <c r="C1455" s="19" t="inlineStr">
        <is>
          <t>unidad</t>
        </is>
      </c>
      <c r="E1455" s="19" t="n">
        <v>500347</v>
      </c>
    </row>
    <row r="1456">
      <c r="A1456" s="19" t="n">
        <v>500348</v>
      </c>
      <c r="B1456" s="19" t="inlineStr">
        <is>
          <t>Saldo pendiente deshoje</t>
        </is>
      </c>
      <c r="C1456" s="19" t="inlineStr">
        <is>
          <t>unidad</t>
        </is>
      </c>
      <c r="E1456" s="19" t="n">
        <v>500348</v>
      </c>
    </row>
    <row r="1457">
      <c r="A1457" s="19" t="n">
        <v>500349</v>
      </c>
      <c r="B1457" s="19" t="inlineStr">
        <is>
          <t>Limpia con guadaña al dia</t>
        </is>
      </c>
      <c r="C1457" s="19" t="inlineStr">
        <is>
          <t>hora</t>
        </is>
      </c>
      <c r="E1457" s="19" t="n">
        <v>500349</v>
      </c>
    </row>
    <row r="1458">
      <c r="A1458" s="19" t="n">
        <v>500350</v>
      </c>
      <c r="B1458" s="19" t="inlineStr">
        <is>
          <t>Canalero</t>
        </is>
      </c>
      <c r="C1458" s="19" t="inlineStr">
        <is>
          <t>hora</t>
        </is>
      </c>
      <c r="E1458" s="19" t="n">
        <v>500350</v>
      </c>
    </row>
    <row r="1459">
      <c r="A1459" s="19" t="n">
        <v>500351</v>
      </c>
      <c r="B1459" s="19" t="inlineStr">
        <is>
          <t>Colocacion punto cinta</t>
        </is>
      </c>
      <c r="C1459" s="19" t="inlineStr">
        <is>
          <t>hora</t>
        </is>
      </c>
      <c r="E1459" s="19" t="n">
        <v>500351</v>
      </c>
    </row>
    <row r="1460">
      <c r="A1460" s="19" t="n">
        <v>500352</v>
      </c>
      <c r="B1460" s="19" t="inlineStr">
        <is>
          <t>Deshoje al dia</t>
        </is>
      </c>
      <c r="C1460" s="19" t="inlineStr">
        <is>
          <t>hora</t>
        </is>
      </c>
      <c r="E1460" s="19" t="n">
        <v>500352</v>
      </c>
    </row>
    <row r="1461">
      <c r="A1461" s="19" t="n">
        <v>500353</v>
      </c>
      <c r="B1461" s="19" t="inlineStr">
        <is>
          <t>Mant. electrico</t>
        </is>
      </c>
      <c r="C1461" s="19" t="inlineStr">
        <is>
          <t>hora</t>
        </is>
      </c>
      <c r="E1461" s="19" t="n">
        <v>500353</v>
      </c>
    </row>
    <row r="1462">
      <c r="A1462" s="19" t="n">
        <v>500354</v>
      </c>
      <c r="B1462" s="19" t="inlineStr">
        <is>
          <t>Recoleccion de madera</t>
        </is>
      </c>
      <c r="C1462" s="19" t="inlineStr">
        <is>
          <t>hora</t>
        </is>
      </c>
      <c r="E1462" s="19" t="n">
        <v>500354</v>
      </c>
    </row>
    <row r="1463">
      <c r="A1463" s="19" t="n">
        <v>500355</v>
      </c>
      <c r="B1463" s="19" t="inlineStr">
        <is>
          <t>Cargue de materiales</t>
        </is>
      </c>
      <c r="C1463" s="19" t="inlineStr">
        <is>
          <t>hora</t>
        </is>
      </c>
      <c r="E1463" s="19" t="n">
        <v>500355</v>
      </c>
    </row>
    <row r="1464">
      <c r="A1464" s="19" t="n">
        <v>500356</v>
      </c>
      <c r="B1464" s="19" t="inlineStr">
        <is>
          <t>Proteccion bolsa</t>
        </is>
      </c>
      <c r="C1464" s="19" t="inlineStr">
        <is>
          <t>hora</t>
        </is>
      </c>
      <c r="E1464" s="19" t="n">
        <v>500356</v>
      </c>
    </row>
    <row r="1465">
      <c r="A1465" s="19" t="n">
        <v>500357</v>
      </c>
      <c r="B1465" s="19" t="inlineStr">
        <is>
          <t>Mezcla para vivero</t>
        </is>
      </c>
      <c r="C1465" s="19" t="inlineStr">
        <is>
          <t>hora</t>
        </is>
      </c>
      <c r="E1465" s="19" t="n">
        <v>500357</v>
      </c>
    </row>
    <row r="1466">
      <c r="A1466" s="19" t="n">
        <v>500358</v>
      </c>
      <c r="B1466" s="19" t="inlineStr">
        <is>
          <t>Saldo pendiente auxilio transporte</t>
        </is>
      </c>
      <c r="C1466" s="19" t="inlineStr">
        <is>
          <t>dia</t>
        </is>
      </c>
      <c r="E1466" s="19" t="n">
        <v>500358</v>
      </c>
    </row>
    <row r="1467">
      <c r="A1467" s="19" t="n">
        <v>500359</v>
      </c>
      <c r="B1467" s="19" t="inlineStr">
        <is>
          <t>Analisis de suelo calicata</t>
        </is>
      </c>
      <c r="C1467" s="19" t="inlineStr">
        <is>
          <t>hora</t>
        </is>
      </c>
      <c r="E1467" s="19" t="n">
        <v>500359</v>
      </c>
    </row>
    <row r="1468">
      <c r="A1468" s="19" t="n">
        <v>500360</v>
      </c>
      <c r="B1468" s="19" t="inlineStr">
        <is>
          <t>Corte finca alegria al dia</t>
        </is>
      </c>
      <c r="C1468" s="19" t="inlineStr">
        <is>
          <t>hora</t>
        </is>
      </c>
      <c r="E1468" s="19" t="n">
        <v>500360</v>
      </c>
    </row>
    <row r="1469">
      <c r="A1469" s="19" t="n">
        <v>500361</v>
      </c>
      <c r="B1469" s="19" t="inlineStr">
        <is>
          <t>Mantenimiento de guadaña</t>
        </is>
      </c>
      <c r="C1469" s="19" t="inlineStr">
        <is>
          <t>hora</t>
        </is>
      </c>
      <c r="E1469" s="19" t="n">
        <v>500361</v>
      </c>
    </row>
    <row r="1470">
      <c r="A1470" s="19" t="n">
        <v>500362</v>
      </c>
      <c r="B1470" s="19" t="inlineStr">
        <is>
          <t>Agricultura</t>
        </is>
      </c>
      <c r="C1470" s="19" t="inlineStr">
        <is>
          <t>hora</t>
        </is>
      </c>
      <c r="E1470" s="19" t="n">
        <v>500362</v>
      </c>
    </row>
    <row r="1471">
      <c r="A1471" s="19" t="n">
        <v>500363</v>
      </c>
      <c r="B1471" s="19" t="inlineStr">
        <is>
          <t>Mantenimiento de canales</t>
        </is>
      </c>
      <c r="C1471" s="19" t="inlineStr">
        <is>
          <t>hora</t>
        </is>
      </c>
      <c r="E1471" s="19" t="n">
        <v>500363</v>
      </c>
    </row>
    <row r="1472">
      <c r="A1472" s="19" t="n">
        <v>500364</v>
      </c>
      <c r="B1472" s="19" t="inlineStr">
        <is>
          <t>Plateo con machete al dia</t>
        </is>
      </c>
      <c r="C1472" s="19" t="inlineStr">
        <is>
          <t>hora</t>
        </is>
      </c>
      <c r="E1472" s="19" t="n">
        <v>500364</v>
      </c>
    </row>
    <row r="1473">
      <c r="A1473" s="19" t="n">
        <v>500365</v>
      </c>
      <c r="B1473" s="19" t="inlineStr">
        <is>
          <t>Recogida soga de campo</t>
        </is>
      </c>
      <c r="C1473" s="19" t="inlineStr">
        <is>
          <t>hora</t>
        </is>
      </c>
      <c r="E1473" s="19" t="n">
        <v>500365</v>
      </c>
    </row>
    <row r="1474">
      <c r="A1474" s="19" t="n">
        <v>500366</v>
      </c>
      <c r="B1474" s="19" t="inlineStr">
        <is>
          <t>Limpia canal con guadaña</t>
        </is>
      </c>
      <c r="C1474" s="19" t="inlineStr">
        <is>
          <t>metro</t>
        </is>
      </c>
      <c r="E1474" s="19" t="n">
        <v>500366</v>
      </c>
    </row>
    <row r="1475">
      <c r="A1475" s="19" t="n">
        <v>500367</v>
      </c>
      <c r="B1475" s="19" t="inlineStr">
        <is>
          <t>Parcela combinada</t>
        </is>
      </c>
      <c r="C1475" s="19" t="inlineStr">
        <is>
          <t>hectarea</t>
        </is>
      </c>
      <c r="E1475" s="19" t="n">
        <v>500367</v>
      </c>
    </row>
    <row r="1476">
      <c r="A1476" s="19" t="n">
        <v>500368</v>
      </c>
      <c r="B1476" s="19" t="inlineStr">
        <is>
          <t>Descargue de semillas</t>
        </is>
      </c>
      <c r="C1476" s="19" t="inlineStr">
        <is>
          <t>hora</t>
        </is>
      </c>
      <c r="E1476" s="19" t="n">
        <v>500368</v>
      </c>
    </row>
    <row r="1477">
      <c r="A1477" s="19" t="n">
        <v>500369</v>
      </c>
      <c r="B1477" s="19" t="inlineStr">
        <is>
          <t>Auxilio medico</t>
        </is>
      </c>
      <c r="C1477" s="19" t="inlineStr">
        <is>
          <t>hora</t>
        </is>
      </c>
      <c r="E1477" s="19" t="n">
        <v>500369</v>
      </c>
    </row>
    <row r="1478">
      <c r="A1478" s="19" t="n">
        <v>500370</v>
      </c>
      <c r="B1478" s="19" t="inlineStr">
        <is>
          <t>Coordinador de empacadora dga</t>
        </is>
      </c>
      <c r="C1478" s="19" t="inlineStr">
        <is>
          <t>hora</t>
        </is>
      </c>
      <c r="E1478" s="19" t="n">
        <v>500370</v>
      </c>
    </row>
    <row r="1479">
      <c r="A1479" s="19" t="n">
        <v>500371</v>
      </c>
      <c r="B1479" s="19" t="inlineStr">
        <is>
          <t>Desmonte de area</t>
        </is>
      </c>
      <c r="C1479" s="19" t="inlineStr">
        <is>
          <t>hora</t>
        </is>
      </c>
      <c r="E1479" s="19" t="n">
        <v>500371</v>
      </c>
    </row>
    <row r="1480">
      <c r="A1480" s="19" t="n">
        <v>500372</v>
      </c>
      <c r="B1480" s="19" t="inlineStr">
        <is>
          <t>Acarreo de semillas</t>
        </is>
      </c>
      <c r="C1480" s="19" t="inlineStr">
        <is>
          <t>hora</t>
        </is>
      </c>
      <c r="E1480" s="19" t="n">
        <v>500372</v>
      </c>
    </row>
    <row r="1481">
      <c r="A1481" s="19" t="n">
        <v>500373</v>
      </c>
      <c r="B1481" s="19" t="inlineStr">
        <is>
          <t>Regada de fibra</t>
        </is>
      </c>
      <c r="C1481" s="19" t="inlineStr">
        <is>
          <t>hora</t>
        </is>
      </c>
      <c r="E1481" s="19" t="n">
        <v>500373</v>
      </c>
    </row>
    <row r="1482">
      <c r="A1482" s="19" t="n">
        <v>500374</v>
      </c>
      <c r="B1482" s="19" t="inlineStr">
        <is>
          <t>Deshermane Don Gaspar</t>
        </is>
      </c>
      <c r="C1482" s="19" t="inlineStr">
        <is>
          <t>hectarea</t>
        </is>
      </c>
      <c r="E1482" s="19" t="n">
        <v>500374</v>
      </c>
    </row>
    <row r="1483">
      <c r="A1483" s="19" t="n">
        <v>500375</v>
      </c>
      <c r="B1483" s="19" t="inlineStr">
        <is>
          <t>Saldo pendiente ayudante de albañil</t>
        </is>
      </c>
      <c r="C1483" s="19" t="inlineStr">
        <is>
          <t>hora</t>
        </is>
      </c>
      <c r="E1483" s="19" t="n">
        <v>500375</v>
      </c>
    </row>
    <row r="1484">
      <c r="A1484" s="19" t="n">
        <v>500376</v>
      </c>
      <c r="B1484" s="19" t="inlineStr">
        <is>
          <t>Saldo regada de fibra</t>
        </is>
      </c>
      <c r="C1484" s="19" t="inlineStr">
        <is>
          <t>hora</t>
        </is>
      </c>
      <c r="E1484" s="19" t="n">
        <v>500376</v>
      </c>
    </row>
    <row r="1485">
      <c r="A1485" s="19" t="n">
        <v>500377</v>
      </c>
      <c r="B1485" s="19" t="inlineStr">
        <is>
          <t>Saldo pendiente cargue de cajas</t>
        </is>
      </c>
      <c r="C1485" s="19" t="inlineStr">
        <is>
          <t>hora</t>
        </is>
      </c>
      <c r="E1485" s="19" t="n">
        <v>500377</v>
      </c>
    </row>
    <row r="1486">
      <c r="A1486" s="19" t="n">
        <v>500378</v>
      </c>
      <c r="B1486" s="19" t="inlineStr">
        <is>
          <t>Auxiliar de cosecha Don Gaspar</t>
        </is>
      </c>
      <c r="C1486" s="19" t="inlineStr">
        <is>
          <t>hora</t>
        </is>
      </c>
      <c r="E1486" s="19" t="n">
        <v>500378</v>
      </c>
    </row>
    <row r="1487">
      <c r="A1487" s="19" t="n">
        <v>500379</v>
      </c>
      <c r="B1487" s="19" t="inlineStr">
        <is>
          <t>Administrador finca La Alegria</t>
        </is>
      </c>
      <c r="C1487" s="19" t="inlineStr">
        <is>
          <t>hora</t>
        </is>
      </c>
      <c r="E1487" s="19" t="n">
        <v>500379</v>
      </c>
    </row>
    <row r="1488">
      <c r="A1488" s="19" t="n">
        <v>500380</v>
      </c>
      <c r="B1488" s="19" t="inlineStr">
        <is>
          <t>Corte al dia Don Gaspar</t>
        </is>
      </c>
      <c r="C1488" s="19" t="inlineStr">
        <is>
          <t>hora</t>
        </is>
      </c>
      <c r="E1488" s="19" t="n">
        <v>500380</v>
      </c>
    </row>
    <row r="1489">
      <c r="A1489" s="19" t="n">
        <v>500381</v>
      </c>
      <c r="B1489" s="19" t="inlineStr">
        <is>
          <t>Alistamiento finca Don Gaspar</t>
        </is>
      </c>
      <c r="C1489" s="19" t="inlineStr">
        <is>
          <t>racimo</t>
        </is>
      </c>
      <c r="E1489" s="19" t="n">
        <v>500381</v>
      </c>
    </row>
    <row r="1490">
      <c r="A1490" s="19" t="n">
        <v>500382</v>
      </c>
      <c r="B1490" s="19" t="inlineStr">
        <is>
          <t>Alistamiento de racimos</t>
        </is>
      </c>
      <c r="C1490" s="19" t="inlineStr">
        <is>
          <t>racimo</t>
        </is>
      </c>
      <c r="E1490" s="19" t="n">
        <v>500382</v>
      </c>
    </row>
    <row r="1491">
      <c r="A1491" s="19" t="n">
        <v>500383</v>
      </c>
      <c r="B1491" s="19" t="inlineStr">
        <is>
          <t>Desflore finca Maria Laura</t>
        </is>
      </c>
      <c r="C1491" s="19" t="inlineStr">
        <is>
          <t>hectarea</t>
        </is>
      </c>
      <c r="E1491" s="19" t="n">
        <v>500383</v>
      </c>
    </row>
    <row r="1492">
      <c r="A1492" s="19" t="n">
        <v>500384</v>
      </c>
      <c r="B1492" s="19" t="inlineStr">
        <is>
          <t>Recuperacion de bolsas por hora</t>
        </is>
      </c>
      <c r="C1492" s="19" t="inlineStr">
        <is>
          <t>hora</t>
        </is>
      </c>
      <c r="E1492" s="19" t="n">
        <v>500384</v>
      </c>
    </row>
    <row r="1493">
      <c r="A1493" s="19" t="n">
        <v>500385</v>
      </c>
      <c r="B1493" s="19" t="inlineStr">
        <is>
          <t>Desvio de puyon</t>
        </is>
      </c>
      <c r="C1493" s="19" t="inlineStr">
        <is>
          <t>hora</t>
        </is>
      </c>
      <c r="E1493" s="19" t="n">
        <v>500385</v>
      </c>
    </row>
    <row r="1494">
      <c r="A1494" s="19" t="n">
        <v>500386</v>
      </c>
      <c r="B1494" s="19" t="inlineStr">
        <is>
          <t>Coordinador general Don Gaspar</t>
        </is>
      </c>
      <c r="C1494" s="19" t="inlineStr">
        <is>
          <t>hora</t>
        </is>
      </c>
      <c r="E1494" s="19" t="n">
        <v>500386</v>
      </c>
    </row>
    <row r="1495">
      <c r="A1495" s="19" t="n">
        <v>500388</v>
      </c>
      <c r="B1495" s="19" t="inlineStr">
        <is>
          <t>Corte festivo Don Gaspar</t>
        </is>
      </c>
      <c r="C1495" s="19" t="inlineStr">
        <is>
          <t>hora</t>
        </is>
      </c>
      <c r="E1495" s="19" t="n">
        <v>500388</v>
      </c>
    </row>
    <row r="1496">
      <c r="A1496" s="19" t="n">
        <v>500389</v>
      </c>
      <c r="B1496" s="19" t="inlineStr">
        <is>
          <t>Corte festivo Elizabeth</t>
        </is>
      </c>
      <c r="C1496" s="19" t="inlineStr">
        <is>
          <t>caja</t>
        </is>
      </c>
      <c r="E1496" s="19" t="n">
        <v>500389</v>
      </c>
    </row>
    <row r="1497">
      <c r="A1497" s="19" t="n">
        <v>500390</v>
      </c>
      <c r="B1497" s="19" t="inlineStr">
        <is>
          <t>Desbacote de matas</t>
        </is>
      </c>
      <c r="C1497" s="19" t="inlineStr">
        <is>
          <t>hora</t>
        </is>
      </c>
      <c r="E1497" s="19" t="n">
        <v>500390</v>
      </c>
    </row>
    <row r="1498">
      <c r="A1498" s="19" t="n">
        <v>500391</v>
      </c>
      <c r="B1498" s="19" t="inlineStr">
        <is>
          <t>Recoleccion de soga</t>
        </is>
      </c>
      <c r="C1498" s="19" t="inlineStr">
        <is>
          <t>hora</t>
        </is>
      </c>
      <c r="E1498" s="19" t="n">
        <v>500391</v>
      </c>
    </row>
    <row r="1499">
      <c r="A1499" s="19" t="n">
        <v>500392</v>
      </c>
      <c r="B1499" s="19" t="inlineStr">
        <is>
          <t>Alistamiento cinta negra</t>
        </is>
      </c>
      <c r="C1499" s="19" t="inlineStr">
        <is>
          <t>racimo</t>
        </is>
      </c>
      <c r="E1499" s="19" t="n">
        <v>500392</v>
      </c>
    </row>
    <row r="1500">
      <c r="A1500" s="19" t="n">
        <v>500393</v>
      </c>
      <c r="B1500" s="19" t="inlineStr">
        <is>
          <t>Control de poblacion</t>
        </is>
      </c>
      <c r="C1500" s="19" t="inlineStr">
        <is>
          <t>hora</t>
        </is>
      </c>
      <c r="E1500" s="19" t="n">
        <v>500393</v>
      </c>
    </row>
    <row r="1501">
      <c r="A1501" s="19" t="n">
        <v>500394</v>
      </c>
      <c r="B1501" s="19" t="inlineStr">
        <is>
          <t>Alistamiento cinta verde</t>
        </is>
      </c>
      <c r="C1501" s="19" t="inlineStr">
        <is>
          <t>racimo</t>
        </is>
      </c>
      <c r="E1501" s="19" t="n">
        <v>500394</v>
      </c>
    </row>
    <row r="1502">
      <c r="A1502" s="19" t="n">
        <v>500395</v>
      </c>
      <c r="B1502" s="19" t="inlineStr">
        <is>
          <t>Alistamiento (amarre y daipa)</t>
        </is>
      </c>
      <c r="C1502" s="19" t="inlineStr">
        <is>
          <t>racimo</t>
        </is>
      </c>
      <c r="E1502" s="19" t="n">
        <v>500395</v>
      </c>
    </row>
    <row r="1503">
      <c r="A1503" s="19" t="n">
        <v>500396</v>
      </c>
      <c r="B1503" s="19" t="inlineStr">
        <is>
          <t>Ayudante de parcela</t>
        </is>
      </c>
      <c r="C1503" s="19" t="inlineStr">
        <is>
          <t>hora</t>
        </is>
      </c>
      <c r="E1503" s="19" t="n">
        <v>500396</v>
      </c>
    </row>
    <row r="1504">
      <c r="A1504" s="19" t="n">
        <v>500397</v>
      </c>
      <c r="B1504" s="19" t="inlineStr">
        <is>
          <t>Desguasque</t>
        </is>
      </c>
      <c r="C1504" s="19" t="inlineStr">
        <is>
          <t>hectarea</t>
        </is>
      </c>
      <c r="E1504" s="19" t="n">
        <v>500397</v>
      </c>
    </row>
    <row r="1505">
      <c r="A1505" s="19" t="n">
        <v>500398</v>
      </c>
      <c r="B1505" s="19" t="inlineStr">
        <is>
          <t>Coordinador general Maria Laura</t>
        </is>
      </c>
      <c r="C1505" s="19" t="inlineStr">
        <is>
          <t>hora</t>
        </is>
      </c>
      <c r="E1505" s="19" t="n">
        <v>500398</v>
      </c>
    </row>
    <row r="1506">
      <c r="A1506" s="19" t="n">
        <v>500399</v>
      </c>
      <c r="B1506" s="19" t="inlineStr">
        <is>
          <t>Alistamiento cinta naranja</t>
        </is>
      </c>
      <c r="C1506" s="19" t="inlineStr">
        <is>
          <t>racimo</t>
        </is>
      </c>
      <c r="E1506" s="19" t="n">
        <v>500399</v>
      </c>
    </row>
    <row r="1507">
      <c r="A1507" s="19" t="n">
        <v>500400</v>
      </c>
      <c r="B1507" s="19" t="inlineStr">
        <is>
          <t>Alistamiento cinta gris</t>
        </is>
      </c>
      <c r="C1507" s="19" t="inlineStr">
        <is>
          <t>racimo</t>
        </is>
      </c>
      <c r="E1507" s="19" t="n">
        <v>500400</v>
      </c>
    </row>
    <row r="1508">
      <c r="A1508" s="19" t="n">
        <v>500401</v>
      </c>
      <c r="B1508" s="19" t="inlineStr">
        <is>
          <t>Aplicacion con barreno</t>
        </is>
      </c>
      <c r="C1508" s="19" t="inlineStr">
        <is>
          <t>unidad</t>
        </is>
      </c>
      <c r="E1508" s="19" t="n">
        <v>500401</v>
      </c>
    </row>
    <row r="1509">
      <c r="A1509" s="19" t="n">
        <v>500402</v>
      </c>
      <c r="B1509" s="19" t="inlineStr">
        <is>
          <t>Aprendiz sena</t>
        </is>
      </c>
      <c r="C1509" s="19" t="inlineStr">
        <is>
          <t>hora</t>
        </is>
      </c>
      <c r="E1509" s="19" t="n">
        <v>500402</v>
      </c>
    </row>
    <row r="1510">
      <c r="A1510" s="19" t="n">
        <v>500403</v>
      </c>
      <c r="B1510" s="19" t="inlineStr">
        <is>
          <t>Auxilio</t>
        </is>
      </c>
      <c r="C1510" s="19" t="inlineStr">
        <is>
          <t>dia</t>
        </is>
      </c>
      <c r="E1510" s="19" t="n">
        <v>500403</v>
      </c>
    </row>
    <row r="1511">
      <c r="A1511" s="19" t="n">
        <v>500404</v>
      </c>
      <c r="B1511" s="19" t="inlineStr">
        <is>
          <t>Aplicacion de abono</t>
        </is>
      </c>
      <c r="C1511" s="19" t="inlineStr">
        <is>
          <t>bulto</t>
        </is>
      </c>
      <c r="E1511" s="19" t="n">
        <v>500404</v>
      </c>
    </row>
    <row r="1512">
      <c r="A1512" s="19" t="n">
        <v>500405</v>
      </c>
      <c r="B1512" s="19" t="inlineStr">
        <is>
          <t>Auxiliar de nomina</t>
        </is>
      </c>
      <c r="C1512" s="19" t="inlineStr">
        <is>
          <t>dia</t>
        </is>
      </c>
      <c r="E1512" s="19" t="n">
        <v>500405</v>
      </c>
    </row>
    <row r="1513">
      <c r="A1513" s="19" t="n">
        <v>500406</v>
      </c>
      <c r="B1513" s="19" t="inlineStr">
        <is>
          <t>Director general</t>
        </is>
      </c>
      <c r="C1513" s="19" t="inlineStr">
        <is>
          <t>dia</t>
        </is>
      </c>
      <c r="E1513" s="19" t="n">
        <v>500406</v>
      </c>
    </row>
    <row r="1514">
      <c r="A1514" s="19" t="n">
        <v>500407</v>
      </c>
      <c r="B1514" s="19" t="inlineStr">
        <is>
          <t>Trincheo</t>
        </is>
      </c>
      <c r="C1514" s="19" t="inlineStr">
        <is>
          <t>hectarea</t>
        </is>
      </c>
      <c r="E1514" s="19" t="n">
        <v>500407</v>
      </c>
    </row>
    <row r="1515">
      <c r="A1515" s="19" t="n">
        <v>500408</v>
      </c>
      <c r="B1515" s="19" t="inlineStr">
        <is>
          <t>Conductor tractomula</t>
        </is>
      </c>
      <c r="C1515" s="19" t="inlineStr">
        <is>
          <t>jornal</t>
        </is>
      </c>
      <c r="E1515" s="19" t="n">
        <v>500408</v>
      </c>
    </row>
    <row r="1516">
      <c r="A1516" s="19" t="n">
        <v>500409</v>
      </c>
      <c r="B1516" s="19" t="inlineStr">
        <is>
          <t>Corte empacadora Don Gaspar</t>
        </is>
      </c>
      <c r="C1516" s="19" t="inlineStr">
        <is>
          <t>caja</t>
        </is>
      </c>
      <c r="E1516" s="19" t="n">
        <v>500409</v>
      </c>
    </row>
    <row r="1517">
      <c r="A1517" s="19" t="n">
        <v>500410</v>
      </c>
      <c r="B1517" s="19" t="inlineStr">
        <is>
          <t>Corte Don Gaspar pega caja/palletizador</t>
        </is>
      </c>
      <c r="C1517" s="19" t="inlineStr">
        <is>
          <t>caja</t>
        </is>
      </c>
      <c r="E1517" s="19" t="n">
        <v>500410</v>
      </c>
    </row>
    <row r="1518">
      <c r="A1518" s="19" t="n">
        <v>500411</v>
      </c>
      <c r="B1518" s="19" t="inlineStr">
        <is>
          <t>Parcela Don Gaspar</t>
        </is>
      </c>
      <c r="C1518" s="19" t="inlineStr">
        <is>
          <t>hectarea</t>
        </is>
      </c>
      <c r="E1518" s="19" t="n">
        <v>500411</v>
      </c>
    </row>
    <row r="1519">
      <c r="A1519" s="19" t="n">
        <v>500412</v>
      </c>
      <c r="B1519" s="19" t="inlineStr">
        <is>
          <t>Gastos de representacion</t>
        </is>
      </c>
      <c r="C1519" s="19" t="inlineStr">
        <is>
          <t>dia</t>
        </is>
      </c>
      <c r="E1519" s="19" t="n">
        <v>500412</v>
      </c>
    </row>
    <row r="1520">
      <c r="A1520" s="19" t="n">
        <v>500413</v>
      </c>
      <c r="B1520" s="19" t="inlineStr">
        <is>
          <t>Desvio de racimos</t>
        </is>
      </c>
      <c r="C1520" s="19" t="inlineStr">
        <is>
          <t>hectareas</t>
        </is>
      </c>
      <c r="E1520" s="19" t="n">
        <v>500413</v>
      </c>
    </row>
    <row r="1521">
      <c r="A1521" s="19" t="n">
        <v>500414</v>
      </c>
      <c r="B1521" s="19" t="inlineStr">
        <is>
          <t>Salario administracion</t>
        </is>
      </c>
      <c r="C1521" s="19" t="inlineStr">
        <is>
          <t>dia</t>
        </is>
      </c>
      <c r="E1521" s="19" t="n">
        <v>500414</v>
      </c>
    </row>
    <row r="1522">
      <c r="A1522" s="19" t="n">
        <v>500415</v>
      </c>
      <c r="B1522" s="19" t="inlineStr">
        <is>
          <t>Auxilio de rodamiento</t>
        </is>
      </c>
      <c r="C1522" s="19" t="inlineStr">
        <is>
          <t>dia</t>
        </is>
      </c>
      <c r="E1522" s="19" t="n">
        <v>500415</v>
      </c>
    </row>
    <row r="1523">
      <c r="A1523" s="19" t="n">
        <v>500416</v>
      </c>
      <c r="B1523" s="19" t="inlineStr">
        <is>
          <t>Proteccion de fruta</t>
        </is>
      </c>
      <c r="C1523" s="19" t="inlineStr">
        <is>
          <t>hora</t>
        </is>
      </c>
      <c r="E1523" s="19" t="n">
        <v>500416</v>
      </c>
    </row>
    <row r="1524">
      <c r="A1524" s="19" t="n">
        <v>500417</v>
      </c>
      <c r="B1524" s="19" t="inlineStr">
        <is>
          <t>Recoleccion de plastico</t>
        </is>
      </c>
      <c r="C1524" s="19" t="inlineStr">
        <is>
          <t>hora</t>
        </is>
      </c>
      <c r="E1524" s="19" t="n">
        <v>500417</v>
      </c>
    </row>
    <row r="1525">
      <c r="A1525" s="19" t="n">
        <v>500418</v>
      </c>
      <c r="B1525" s="19" t="inlineStr">
        <is>
          <t>Aprendiz universitario</t>
        </is>
      </c>
      <c r="C1525" s="19" t="inlineStr">
        <is>
          <t>hora</t>
        </is>
      </c>
      <c r="E1525" s="19" t="n">
        <v>500418</v>
      </c>
    </row>
    <row r="1526">
      <c r="A1526" s="19" t="n">
        <v>500419</v>
      </c>
      <c r="B1526" s="19" t="inlineStr">
        <is>
          <t>Desbunche de racimos</t>
        </is>
      </c>
      <c r="C1526" s="19" t="inlineStr">
        <is>
          <t>hora</t>
        </is>
      </c>
      <c r="E1526" s="19" t="n">
        <v>500419</v>
      </c>
    </row>
    <row r="1527">
      <c r="A1527" s="19" t="n">
        <v>500420</v>
      </c>
      <c r="B1527" s="19" t="inlineStr">
        <is>
          <t>Lavada de costales</t>
        </is>
      </c>
      <c r="C1527" s="19" t="inlineStr">
        <is>
          <t>hora</t>
        </is>
      </c>
      <c r="E1527" s="19" t="n">
        <v>500420</v>
      </c>
    </row>
    <row r="1528">
      <c r="A1528" s="19" t="n">
        <v>500421</v>
      </c>
      <c r="B1528" s="19" t="inlineStr">
        <is>
          <t>Regada de tierra</t>
        </is>
      </c>
      <c r="C1528" s="19" t="inlineStr">
        <is>
          <t>hora</t>
        </is>
      </c>
      <c r="E1528" s="19" t="n">
        <v>500421</v>
      </c>
    </row>
    <row r="1529">
      <c r="A1529" s="19" t="n">
        <v>500422</v>
      </c>
      <c r="B1529" s="19" t="inlineStr">
        <is>
          <t>Corte o poda de arboles</t>
        </is>
      </c>
      <c r="C1529" s="19" t="inlineStr">
        <is>
          <t>hora</t>
        </is>
      </c>
      <c r="E1529" s="19" t="n">
        <v>500422</v>
      </c>
    </row>
    <row r="1530">
      <c r="A1530" s="19" t="n">
        <v>500423</v>
      </c>
      <c r="B1530" s="19" t="inlineStr">
        <is>
          <t>Acarreo de troncon</t>
        </is>
      </c>
      <c r="C1530" s="19" t="inlineStr">
        <is>
          <t>hora</t>
        </is>
      </c>
      <c r="E1530" s="19" t="n">
        <v>500423</v>
      </c>
    </row>
    <row r="1531">
      <c r="A1531" s="19" t="n">
        <v>500424</v>
      </c>
      <c r="B1531" s="19" t="inlineStr">
        <is>
          <t>Desflore y embolse</t>
        </is>
      </c>
      <c r="C1531" s="19" t="inlineStr">
        <is>
          <t>hectarea</t>
        </is>
      </c>
      <c r="E1531" s="19" t="n">
        <v>500424</v>
      </c>
    </row>
    <row r="1532">
      <c r="A1532" s="19" t="n">
        <v>500425</v>
      </c>
      <c r="B1532" s="19" t="inlineStr">
        <is>
          <t>Almacenista</t>
        </is>
      </c>
      <c r="C1532" s="19" t="inlineStr">
        <is>
          <t>hora</t>
        </is>
      </c>
      <c r="E1532" s="19" t="n">
        <v>500425</v>
      </c>
    </row>
    <row r="1533">
      <c r="A1533" s="19" t="n">
        <v>500426</v>
      </c>
      <c r="B1533" s="19" t="inlineStr">
        <is>
          <t>Parcela simultanea</t>
        </is>
      </c>
      <c r="C1533" s="19" t="inlineStr">
        <is>
          <t>hectarea</t>
        </is>
      </c>
      <c r="E1533" s="19" t="n">
        <v>500426</v>
      </c>
    </row>
    <row r="1534">
      <c r="A1534" s="19" t="n">
        <v>500427</v>
      </c>
      <c r="B1534" s="19" t="inlineStr">
        <is>
          <t>Arreglo de dique</t>
        </is>
      </c>
      <c r="C1534" s="19" t="inlineStr">
        <is>
          <t>hora</t>
        </is>
      </c>
      <c r="E1534" s="19" t="n">
        <v>500427</v>
      </c>
    </row>
    <row r="1535">
      <c r="A1535" s="19" t="n">
        <v>500428</v>
      </c>
      <c r="B1535" s="19" t="inlineStr">
        <is>
          <t>Botada de jamiche</t>
        </is>
      </c>
      <c r="C1535" s="19" t="inlineStr">
        <is>
          <t>hora</t>
        </is>
      </c>
      <c r="E1535" s="19" t="n">
        <v>500428</v>
      </c>
    </row>
    <row r="1536">
      <c r="A1536" s="19" t="n">
        <v>500429</v>
      </c>
      <c r="B1536" s="19" t="inlineStr">
        <is>
          <t>Control erwinia</t>
        </is>
      </c>
      <c r="C1536" s="19" t="inlineStr">
        <is>
          <t>hora</t>
        </is>
      </c>
      <c r="E1536" s="19" t="n">
        <v>500429</v>
      </c>
    </row>
    <row r="1537">
      <c r="A1537" s="19" t="n">
        <v>500430</v>
      </c>
      <c r="B1537" s="19" t="inlineStr">
        <is>
          <t>Botada de corona</t>
        </is>
      </c>
      <c r="C1537" s="19" t="inlineStr">
        <is>
          <t>hora</t>
        </is>
      </c>
      <c r="E1537" s="19" t="n">
        <v>500430</v>
      </c>
    </row>
    <row r="1538">
      <c r="A1538" s="19" t="n">
        <v>500431</v>
      </c>
      <c r="B1538" s="19" t="inlineStr">
        <is>
          <t>Organizacion papeleria</t>
        </is>
      </c>
      <c r="C1538" s="19" t="inlineStr">
        <is>
          <t>hora</t>
        </is>
      </c>
      <c r="E1538" s="19" t="n">
        <v>500431</v>
      </c>
    </row>
    <row r="1539">
      <c r="A1539" s="19" t="n">
        <v>500432</v>
      </c>
      <c r="B1539" s="19" t="inlineStr">
        <is>
          <t>Mantenimiento electrico</t>
        </is>
      </c>
      <c r="C1539" s="19" t="inlineStr">
        <is>
          <t>hora</t>
        </is>
      </c>
      <c r="E1539" s="19" t="n">
        <v>500432</v>
      </c>
    </row>
    <row r="1540">
      <c r="A1540" s="19" t="n">
        <v>500433</v>
      </c>
      <c r="B1540" s="19" t="inlineStr">
        <is>
          <t>Apertura de daipa</t>
        </is>
      </c>
      <c r="C1540" s="19" t="inlineStr">
        <is>
          <t>hora</t>
        </is>
      </c>
      <c r="E1540" s="19" t="n">
        <v>500433</v>
      </c>
    </row>
    <row r="1541">
      <c r="A1541" s="19" t="n">
        <v>500434</v>
      </c>
      <c r="B1541" s="19" t="inlineStr">
        <is>
          <t>Parcela simultanea Elizabeth</t>
        </is>
      </c>
      <c r="C1541" s="19" t="inlineStr">
        <is>
          <t>hectarea</t>
        </is>
      </c>
      <c r="E1541" s="19" t="n">
        <v>500434</v>
      </c>
    </row>
    <row r="1542">
      <c r="A1542" s="19" t="n">
        <v>500435</v>
      </c>
      <c r="B1542" s="19" t="inlineStr">
        <is>
          <t>Riego Elizabeth</t>
        </is>
      </c>
      <c r="C1542" s="19" t="inlineStr">
        <is>
          <t>hora</t>
        </is>
      </c>
      <c r="E1542" s="19" t="n">
        <v>500435</v>
      </c>
    </row>
    <row r="1543">
      <c r="A1543" s="19" t="n">
        <v>500436</v>
      </c>
      <c r="B1543" s="19" t="inlineStr">
        <is>
          <t>Ayudante de medicion de canal</t>
        </is>
      </c>
      <c r="C1543" s="19" t="inlineStr">
        <is>
          <t>hora</t>
        </is>
      </c>
      <c r="E1543" s="19" t="n">
        <v>500436</v>
      </c>
    </row>
    <row r="1544">
      <c r="A1544" s="19" t="n">
        <v>500437</v>
      </c>
      <c r="B1544" s="19" t="inlineStr">
        <is>
          <t>Tractorista dominical</t>
        </is>
      </c>
      <c r="C1544" s="19" t="inlineStr">
        <is>
          <t>hora</t>
        </is>
      </c>
      <c r="E1544" s="19" t="n">
        <v>500437</v>
      </c>
    </row>
    <row r="1545">
      <c r="A1545" s="19" t="n">
        <v>500438</v>
      </c>
      <c r="B1545" s="19" t="inlineStr">
        <is>
          <t>Conductor</t>
        </is>
      </c>
      <c r="C1545" s="19" t="inlineStr">
        <is>
          <t>dia</t>
        </is>
      </c>
      <c r="E1545" s="19" t="n">
        <v>500438</v>
      </c>
    </row>
    <row r="1546">
      <c r="A1546" s="19" t="n">
        <v>500439</v>
      </c>
      <c r="B1546" s="19" t="inlineStr">
        <is>
          <t>Analista contable</t>
        </is>
      </c>
      <c r="C1546" s="19" t="inlineStr">
        <is>
          <t>dia</t>
        </is>
      </c>
      <c r="E1546" s="19" t="n">
        <v>500439</v>
      </c>
    </row>
    <row r="1547">
      <c r="A1547" s="19" t="n">
        <v>500440</v>
      </c>
      <c r="B1547" s="19" t="inlineStr">
        <is>
          <t>Soldador</t>
        </is>
      </c>
      <c r="C1547" s="19" t="inlineStr">
        <is>
          <t>dia</t>
        </is>
      </c>
      <c r="E1547" s="19" t="n">
        <v>500440</v>
      </c>
    </row>
    <row r="1548">
      <c r="A1548" s="19" t="n">
        <v>500441</v>
      </c>
      <c r="B1548" s="19" t="inlineStr">
        <is>
          <t>Coordinador certificaciones</t>
        </is>
      </c>
      <c r="C1548" s="19" t="inlineStr">
        <is>
          <t>hora</t>
        </is>
      </c>
      <c r="E1548" s="19" t="n">
        <v>500441</v>
      </c>
    </row>
    <row r="1549">
      <c r="A1549" s="19" t="n">
        <v>500442</v>
      </c>
      <c r="B1549" s="19" t="inlineStr">
        <is>
          <t>Analista de materiales</t>
        </is>
      </c>
      <c r="C1549" s="19" t="inlineStr">
        <is>
          <t>dia</t>
        </is>
      </c>
      <c r="E1549" s="19" t="n">
        <v>500442</v>
      </c>
    </row>
    <row r="1550">
      <c r="A1550" s="19" t="n">
        <v>500443</v>
      </c>
      <c r="B1550" s="19" t="inlineStr">
        <is>
          <t>Analista de produccion</t>
        </is>
      </c>
      <c r="C1550" s="19" t="inlineStr">
        <is>
          <t>dia</t>
        </is>
      </c>
      <c r="E1550" s="19" t="n">
        <v>500443</v>
      </c>
    </row>
    <row r="1551">
      <c r="A1551" s="19" t="n">
        <v>500444</v>
      </c>
      <c r="B1551" s="19" t="inlineStr">
        <is>
          <t>Corte promedio auxiliar</t>
        </is>
      </c>
      <c r="C1551" s="19" t="inlineStr">
        <is>
          <t>unidad</t>
        </is>
      </c>
      <c r="E1551" s="19" t="n">
        <v>500444</v>
      </c>
    </row>
    <row r="1552">
      <c r="A1552" s="19" t="n">
        <v>500445</v>
      </c>
      <c r="B1552" s="19" t="inlineStr">
        <is>
          <t>Corte promedio auxiliar Elizabeth</t>
        </is>
      </c>
      <c r="C1552" s="19" t="inlineStr">
        <is>
          <t>unidad</t>
        </is>
      </c>
      <c r="E1552" s="19" t="n">
        <v>500445</v>
      </c>
    </row>
    <row r="1553">
      <c r="A1553" s="19" t="n">
        <v>500446</v>
      </c>
      <c r="B1553" s="19" t="inlineStr">
        <is>
          <t>Coordinador de poblacion</t>
        </is>
      </c>
      <c r="C1553" s="19" t="inlineStr">
        <is>
          <t>hora</t>
        </is>
      </c>
      <c r="E1553" s="19" t="n">
        <v>500446</v>
      </c>
    </row>
    <row r="1554">
      <c r="A1554" s="19" t="n">
        <v>500447</v>
      </c>
      <c r="B1554" s="19" t="inlineStr">
        <is>
          <t>Coordinador de riego</t>
        </is>
      </c>
      <c r="C1554" s="19" t="inlineStr">
        <is>
          <t>hora</t>
        </is>
      </c>
      <c r="E1554" s="19" t="n">
        <v>500447</v>
      </c>
    </row>
    <row r="1555">
      <c r="A1555" s="19" t="n">
        <v>500448</v>
      </c>
      <c r="B1555" s="19" t="inlineStr">
        <is>
          <t>Aprendiz sena administracion</t>
        </is>
      </c>
      <c r="C1555" s="19" t="inlineStr">
        <is>
          <t>dia</t>
        </is>
      </c>
      <c r="E1555" s="19" t="n">
        <v>500448</v>
      </c>
    </row>
    <row r="1556">
      <c r="A1556" s="19" t="n">
        <v>500449</v>
      </c>
      <c r="B1556" s="19" t="inlineStr">
        <is>
          <t>Conductor camion</t>
        </is>
      </c>
      <c r="C1556" s="19" t="inlineStr">
        <is>
          <t>dia</t>
        </is>
      </c>
      <c r="E1556" s="19" t="n">
        <v>500449</v>
      </c>
    </row>
    <row r="1557">
      <c r="A1557" s="19" t="n">
        <v>500450</v>
      </c>
      <c r="B1557" s="19" t="inlineStr">
        <is>
          <t>Corte promedio auxiliar festivo</t>
        </is>
      </c>
      <c r="C1557" s="19" t="inlineStr">
        <is>
          <t>unidad</t>
        </is>
      </c>
      <c r="E1557" s="19" t="n">
        <v>500450</v>
      </c>
    </row>
    <row r="1558">
      <c r="A1558" s="19" t="n">
        <v>500451</v>
      </c>
      <c r="B1558" s="19" t="inlineStr">
        <is>
          <t>Realce festivo</t>
        </is>
      </c>
      <c r="C1558" s="19" t="inlineStr">
        <is>
          <t>hora</t>
        </is>
      </c>
      <c r="E1558" s="19" t="n">
        <v>500451</v>
      </c>
    </row>
    <row r="1559">
      <c r="A1559" s="19" t="n">
        <v>500452</v>
      </c>
      <c r="B1559" s="19" t="inlineStr">
        <is>
          <t>Capacitacion en corte</t>
        </is>
      </c>
      <c r="C1559" s="19" t="inlineStr">
        <is>
          <t>hora</t>
        </is>
      </c>
      <c r="E1559" s="19" t="n">
        <v>500452</v>
      </c>
    </row>
    <row r="1560">
      <c r="A1560" s="19" t="n">
        <v>500453</v>
      </c>
      <c r="B1560" s="19" t="inlineStr">
        <is>
          <t>Desmache con sable festivo</t>
        </is>
      </c>
      <c r="C1560" s="19" t="inlineStr">
        <is>
          <t>hectarea</t>
        </is>
      </c>
      <c r="E1560" s="19" t="n">
        <v>500453</v>
      </c>
    </row>
    <row r="1561">
      <c r="A1561" s="19" t="n">
        <v>500454</v>
      </c>
      <c r="B1561" s="19" t="inlineStr">
        <is>
          <t>Devolucion descuento</t>
        </is>
      </c>
      <c r="C1561" s="19" t="inlineStr">
        <is>
          <t>unidad</t>
        </is>
      </c>
      <c r="E1561" s="19" t="n">
        <v>500454</v>
      </c>
    </row>
    <row r="1562">
      <c r="A1562" s="19" t="n">
        <v>500455</v>
      </c>
      <c r="B1562" s="19" t="inlineStr">
        <is>
          <t>Ayudante de retro festivo</t>
        </is>
      </c>
      <c r="C1562" s="19" t="inlineStr">
        <is>
          <t>hora</t>
        </is>
      </c>
      <c r="E1562" s="19" t="n">
        <v>500455</v>
      </c>
    </row>
    <row r="1563">
      <c r="A1563" s="19" t="n">
        <v>500456</v>
      </c>
      <c r="B1563" s="19" t="inlineStr">
        <is>
          <t>Ayudante de parcela festivo</t>
        </is>
      </c>
      <c r="C1563" s="19" t="inlineStr">
        <is>
          <t>hora</t>
        </is>
      </c>
      <c r="E1563" s="19" t="n">
        <v>500456</v>
      </c>
    </row>
    <row r="1564">
      <c r="A1564" s="19" t="n">
        <v>500457</v>
      </c>
      <c r="B1564" s="19" t="inlineStr">
        <is>
          <t>Operador retro festivo</t>
        </is>
      </c>
      <c r="C1564" s="19" t="inlineStr">
        <is>
          <t>hora</t>
        </is>
      </c>
      <c r="E1564" s="19" t="n">
        <v>500457</v>
      </c>
    </row>
    <row r="1565">
      <c r="A1565" s="19" t="n">
        <v>500458</v>
      </c>
      <c r="B1565" s="19" t="inlineStr">
        <is>
          <t>Parcela al dia</t>
        </is>
      </c>
      <c r="C1565" s="19" t="inlineStr">
        <is>
          <t>hora</t>
        </is>
      </c>
      <c r="E1565" s="19" t="n">
        <v>500458</v>
      </c>
    </row>
    <row r="1566">
      <c r="A1566" s="19" t="n">
        <v>500459</v>
      </c>
      <c r="B1566" s="19" t="inlineStr">
        <is>
          <t>Parcela al dia festivo</t>
        </is>
      </c>
      <c r="C1566" s="19" t="inlineStr">
        <is>
          <t>hora</t>
        </is>
      </c>
      <c r="E1566" s="19" t="n">
        <v>500459</v>
      </c>
    </row>
    <row r="1567">
      <c r="A1567" s="19" t="n">
        <v>500460</v>
      </c>
      <c r="B1567" s="19" t="inlineStr">
        <is>
          <t>Aplicacion de herbicida por hora Elizabeth</t>
        </is>
      </c>
      <c r="C1567" s="19" t="inlineStr">
        <is>
          <t>hora</t>
        </is>
      </c>
      <c r="E1567" s="19" t="n">
        <v>500460</v>
      </c>
    </row>
    <row r="1568">
      <c r="A1568" s="19" t="n">
        <v>500461</v>
      </c>
      <c r="B1568" s="19" t="inlineStr">
        <is>
          <t>Aporque de plantilla</t>
        </is>
      </c>
      <c r="C1568" s="19" t="inlineStr">
        <is>
          <t>unidad</t>
        </is>
      </c>
      <c r="E1568" s="19" t="n">
        <v>500461</v>
      </c>
    </row>
    <row r="1569">
      <c r="A1569" s="19" t="n">
        <v>500462</v>
      </c>
      <c r="B1569" s="19" t="inlineStr">
        <is>
          <t>Corte mercado nacional</t>
        </is>
      </c>
      <c r="C1569" s="19" t="inlineStr">
        <is>
          <t>hora</t>
        </is>
      </c>
      <c r="E1569" s="19" t="n">
        <v>500462</v>
      </c>
    </row>
    <row r="1570">
      <c r="A1570" s="19" t="n">
        <v>500463</v>
      </c>
      <c r="B1570" s="19" t="inlineStr">
        <is>
          <t>Corte mercado nacional festivo</t>
        </is>
      </c>
      <c r="C1570" s="19" t="inlineStr">
        <is>
          <t>hora</t>
        </is>
      </c>
      <c r="E1570" s="19" t="n">
        <v>500463</v>
      </c>
    </row>
    <row r="1571">
      <c r="A1571" s="19" t="n">
        <v>500464</v>
      </c>
      <c r="B1571" s="19" t="inlineStr">
        <is>
          <t>Corte El Refugio</t>
        </is>
      </c>
      <c r="C1571" s="19" t="inlineStr">
        <is>
          <t>unidad</t>
        </is>
      </c>
      <c r="E1571" s="19" t="n">
        <v>500464</v>
      </c>
    </row>
    <row r="1572">
      <c r="A1572" s="19" t="n">
        <v>500465</v>
      </c>
      <c r="B1572" s="19" t="inlineStr">
        <is>
          <t>Corte El Refugio al dia</t>
        </is>
      </c>
      <c r="C1572" s="19" t="inlineStr">
        <is>
          <t>hora</t>
        </is>
      </c>
      <c r="E1572" s="19" t="n">
        <v>500465</v>
      </c>
    </row>
    <row r="1573">
      <c r="A1573" s="19" t="n">
        <v>500466</v>
      </c>
      <c r="B1573" s="19" t="inlineStr">
        <is>
          <t>Precalibracion El Refugio</t>
        </is>
      </c>
      <c r="C1573" s="19" t="inlineStr">
        <is>
          <t>hora</t>
        </is>
      </c>
      <c r="E1573" s="19" t="n">
        <v>500466</v>
      </c>
    </row>
    <row r="1574">
      <c r="A1574" s="19" t="n">
        <v>500467</v>
      </c>
      <c r="B1574" s="19" t="inlineStr">
        <is>
          <t>Corte El Refugio festivo</t>
        </is>
      </c>
      <c r="C1574" s="19" t="inlineStr">
        <is>
          <t>unidad</t>
        </is>
      </c>
      <c r="E1574" s="19" t="n">
        <v>500467</v>
      </c>
    </row>
    <row r="1575">
      <c r="A1575" s="19" t="n">
        <v>500468</v>
      </c>
      <c r="B1575" s="19" t="inlineStr">
        <is>
          <t>Acarreo de arena</t>
        </is>
      </c>
      <c r="C1575" s="19" t="inlineStr">
        <is>
          <t>hora</t>
        </is>
      </c>
      <c r="E1575" s="19" t="n">
        <v>500468</v>
      </c>
    </row>
    <row r="1576">
      <c r="A1576" s="19" t="n">
        <v>500469</v>
      </c>
      <c r="B1576" s="19" t="inlineStr">
        <is>
          <t>Mant cable turbina dominical</t>
        </is>
      </c>
      <c r="C1576" s="19" t="inlineStr">
        <is>
          <t>hora</t>
        </is>
      </c>
      <c r="E1576" s="19" t="n">
        <v>500469</v>
      </c>
    </row>
    <row r="1577">
      <c r="A1577" s="19" t="n">
        <v>500470</v>
      </c>
      <c r="B1577" s="19" t="inlineStr">
        <is>
          <t>Viajes</t>
        </is>
      </c>
      <c r="C1577" s="19" t="inlineStr">
        <is>
          <t>dia</t>
        </is>
      </c>
      <c r="E1577" s="19" t="n">
        <v>500470</v>
      </c>
    </row>
    <row r="1578">
      <c r="A1578" s="19" t="n">
        <v>500471</v>
      </c>
      <c r="B1578" s="19" t="inlineStr">
        <is>
          <t>Viaticos</t>
        </is>
      </c>
      <c r="C1578" s="19" t="inlineStr">
        <is>
          <t>dia</t>
        </is>
      </c>
      <c r="E1578" s="19" t="n">
        <v>500471</v>
      </c>
    </row>
    <row r="1579">
      <c r="A1579" s="19" t="n">
        <v>500472</v>
      </c>
      <c r="B1579" s="19" t="inlineStr">
        <is>
          <t>Oficios varios dominical</t>
        </is>
      </c>
      <c r="C1579" s="19" t="inlineStr">
        <is>
          <t>hora</t>
        </is>
      </c>
      <c r="E1579" s="19" t="n">
        <v>500472</v>
      </c>
    </row>
    <row r="1580">
      <c r="A1580" s="19" t="n">
        <v>500473</v>
      </c>
      <c r="B1580" s="19" t="inlineStr">
        <is>
          <t>Ingeniero agricola</t>
        </is>
      </c>
      <c r="C1580" s="19" t="inlineStr">
        <is>
          <t>dia</t>
        </is>
      </c>
      <c r="E1580" s="19" t="n">
        <v>500473</v>
      </c>
    </row>
    <row r="1581">
      <c r="A1581" s="19" t="n">
        <v>500474</v>
      </c>
      <c r="B1581" s="19" t="inlineStr">
        <is>
          <t>Aplicacion de abono El Refugio</t>
        </is>
      </c>
      <c r="C1581" s="19" t="inlineStr">
        <is>
          <t>bulto</t>
        </is>
      </c>
      <c r="E1581" s="19" t="n">
        <v>500474</v>
      </c>
    </row>
    <row r="1582">
      <c r="A1582" s="19" t="n">
        <v>500476</v>
      </c>
      <c r="B1582" s="19" t="inlineStr">
        <is>
          <t>Limpia de sequia al dia</t>
        </is>
      </c>
      <c r="C1582" s="19" t="inlineStr">
        <is>
          <t>hora</t>
        </is>
      </c>
      <c r="E1582" s="19" t="n">
        <v>500476</v>
      </c>
    </row>
    <row r="1583">
      <c r="A1583" s="19" t="n">
        <v>500477</v>
      </c>
      <c r="B1583" s="19" t="inlineStr">
        <is>
          <t>Gerente de proyectos</t>
        </is>
      </c>
      <c r="C1583" s="19" t="inlineStr">
        <is>
          <t>dia</t>
        </is>
      </c>
      <c r="E1583" s="19" t="n">
        <v>500477</v>
      </c>
    </row>
    <row r="1584">
      <c r="A1584" s="19" t="n">
        <v>500478</v>
      </c>
      <c r="B1584" s="19" t="inlineStr">
        <is>
          <t>Asistente juridico</t>
        </is>
      </c>
      <c r="C1584" s="19" t="inlineStr">
        <is>
          <t>dia</t>
        </is>
      </c>
      <c r="E1584" s="19" t="n">
        <v>500478</v>
      </c>
    </row>
    <row r="1585">
      <c r="A1585" s="19" t="n">
        <v>500509</v>
      </c>
      <c r="B1585" s="19" t="inlineStr">
        <is>
          <t>Ayudante de albañil h.e.d.</t>
        </is>
      </c>
      <c r="C1585" s="19" t="inlineStr">
        <is>
          <t>hora</t>
        </is>
      </c>
      <c r="E1585" s="19" t="n">
        <v>500509</v>
      </c>
    </row>
    <row r="1586">
      <c r="A1586" s="19" t="n">
        <v>1264</v>
      </c>
      <c r="B1586" s="19" t="inlineStr">
        <is>
          <t>Desflore, identificacion y embolse</t>
        </is>
      </c>
      <c r="C1586" s="19" t="inlineStr">
        <is>
          <t>hectarea</t>
        </is>
      </c>
      <c r="E1586" s="19" t="n">
        <v>1264</v>
      </c>
    </row>
    <row r="1587">
      <c r="A1587" s="19" t="n">
        <v>1265</v>
      </c>
      <c r="B1587" s="19" t="inlineStr">
        <is>
          <t>Amarre por hectarea</t>
        </is>
      </c>
      <c r="C1587" s="19" t="inlineStr">
        <is>
          <t>hectarea</t>
        </is>
      </c>
      <c r="E1587" s="19" t="n">
        <v>1265</v>
      </c>
    </row>
    <row r="1588">
      <c r="A1588" s="19" t="n">
        <v>1266</v>
      </c>
      <c r="B1588" s="19" t="inlineStr">
        <is>
          <t>Yumbolon por hectarea</t>
        </is>
      </c>
      <c r="C1588" s="19" t="inlineStr">
        <is>
          <t>hectarea</t>
        </is>
      </c>
      <c r="E1588" s="19" t="n">
        <v>1266</v>
      </c>
    </row>
  </sheetData>
  <hyperlinks>
    <hyperlink ref="H1" location="RDT!A1" display="REGRESAR A REPORTES"/>
    <hyperlink ref="H4" location="RDT!A1" display="REGRESA"/>
  </hyperlinks>
  <pageMargins left="0.75" right="0.75" top="1" bottom="1" header="0.5" footer="0.5"/>
  <pageSetup orientation="portrait" paperSize="9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Hoja2">
    <tabColor rgb="FF92D050"/>
    <outlinePr summaryBelow="1" summaryRight="1"/>
    <pageSetUpPr/>
  </sheetPr>
  <dimension ref="A1:I98"/>
  <sheetViews>
    <sheetView showGridLines="0" zoomScale="110" zoomScaleNormal="110" workbookViewId="0">
      <pane ySplit="1" topLeftCell="A104" activePane="bottomLeft" state="frozen"/>
      <selection pane="bottomLeft" activeCell="B117" sqref="B117"/>
    </sheetView>
  </sheetViews>
  <sheetFormatPr baseColWidth="10" defaultColWidth="9.1796875" defaultRowHeight="12.5"/>
  <cols>
    <col width="13.1796875" customWidth="1" min="1" max="1"/>
    <col width="17.7265625" bestFit="1" customWidth="1" min="2" max="2"/>
    <col width="36.453125" bestFit="1" customWidth="1" min="3" max="3"/>
    <col width="9.453125" bestFit="1" customWidth="1" min="4" max="4"/>
  </cols>
  <sheetData>
    <row r="1" ht="17.5" customHeight="1" thickBot="1">
      <c r="A1" s="6" t="inlineStr">
        <is>
          <t>CODIGO</t>
        </is>
      </c>
      <c r="B1" s="15" t="inlineStr">
        <is>
          <t>Columna1</t>
        </is>
      </c>
      <c r="C1" s="7" t="inlineStr">
        <is>
          <t>DESCRIPCION</t>
        </is>
      </c>
      <c r="D1" s="8" t="inlineStr">
        <is>
          <t>finca</t>
        </is>
      </c>
      <c r="E1" s="11" t="inlineStr">
        <is>
          <t>CODIGO2</t>
        </is>
      </c>
      <c r="F1" s="1" t="inlineStr">
        <is>
          <t>tipo</t>
        </is>
      </c>
      <c r="I1" s="5" t="inlineStr">
        <is>
          <t>REGRESAR A REPORTES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>
      <c r="B23" s="12" t="n"/>
      <c r="C23" s="12" t="n"/>
    </row>
    <row r="24"/>
    <row r="25"/>
    <row r="26"/>
    <row r="27"/>
    <row r="28"/>
    <row r="29"/>
    <row r="30"/>
    <row r="31">
      <c r="B31" s="12" t="n"/>
      <c r="C31" s="12" t="n"/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B50" s="12" t="n"/>
      <c r="C50" s="12" t="n"/>
    </row>
    <row r="51"/>
    <row r="52">
      <c r="B52" s="12" t="n"/>
      <c r="C52" s="12" t="n"/>
    </row>
    <row r="53"/>
    <row r="54"/>
    <row r="55">
      <c r="B55" s="12" t="n"/>
    </row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>
      <c r="C76" s="12" t="n"/>
    </row>
    <row r="77"/>
    <row r="78">
      <c r="B78" s="12" t="n"/>
      <c r="C78" s="12" t="n"/>
    </row>
    <row r="79"/>
    <row r="80"/>
    <row r="81">
      <c r="C81" s="12" t="n"/>
    </row>
    <row r="82"/>
    <row r="83"/>
    <row r="84"/>
    <row r="85"/>
    <row r="86"/>
    <row r="87"/>
    <row r="88"/>
    <row r="89">
      <c r="A89" s="25" t="n"/>
      <c r="B89" s="25" t="n"/>
      <c r="C89" s="25" t="n"/>
      <c r="D89" s="25" t="n"/>
    </row>
    <row r="90">
      <c r="B90" s="12" t="n"/>
      <c r="C90" s="12" t="n"/>
    </row>
    <row r="91">
      <c r="B91" s="12" t="n"/>
      <c r="C91" s="12" t="n"/>
    </row>
    <row r="92">
      <c r="B92" s="12" t="n"/>
    </row>
    <row r="93">
      <c r="B93" s="12" t="n"/>
      <c r="C93" s="12" t="n"/>
    </row>
    <row r="94"/>
    <row r="95"/>
    <row r="96"/>
    <row r="97">
      <c r="B97" s="12" t="n"/>
    </row>
    <row r="98">
      <c r="B98" s="12" t="n"/>
    </row>
  </sheetData>
  <hyperlinks>
    <hyperlink ref="I1" location="RDT!A1" display="REGRESAR A REPORTES"/>
  </hyperlinks>
  <pageMargins left="0.75" right="0.75" top="1" bottom="1" header="0.5" footer="0.5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Hoja4">
    <tabColor rgb="FF002060"/>
    <outlinePr summaryBelow="1" summaryRight="1"/>
    <pageSetUpPr/>
  </sheetPr>
  <dimension ref="A1:C124"/>
  <sheetViews>
    <sheetView workbookViewId="0">
      <selection activeCell="A4" sqref="A4"/>
    </sheetView>
  </sheetViews>
  <sheetFormatPr baseColWidth="10" defaultColWidth="9.1796875" defaultRowHeight="12.5"/>
  <cols>
    <col width="4" bestFit="1" customWidth="1" min="1" max="1"/>
    <col width="14.453125" customWidth="1" min="2" max="2"/>
  </cols>
  <sheetData>
    <row r="1"/>
    <row r="2">
      <c r="A2" s="3" t="inlineStr">
        <is>
          <t>cod</t>
        </is>
      </c>
      <c r="B2" s="3" t="inlineStr">
        <is>
          <t>nombre</t>
        </is>
      </c>
      <c r="C2" s="3" t="n"/>
    </row>
    <row r="3">
      <c r="A3" s="3" t="n"/>
      <c r="B3" s="9" t="n"/>
      <c r="C3" s="3" t="n"/>
    </row>
    <row r="4">
      <c r="A4" s="10" t="n"/>
      <c r="B4" s="4" t="n"/>
      <c r="C4" s="3" t="n"/>
    </row>
    <row r="5">
      <c r="A5" s="3" t="n"/>
      <c r="B5" s="3" t="n"/>
      <c r="C5" s="3" t="n"/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 ht="6" customHeight="1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  <row r="24">
      <c r="A24" s="3" t="n"/>
      <c r="B24" s="3" t="n"/>
      <c r="C24" s="3" t="n"/>
    </row>
    <row r="25">
      <c r="A25" s="3" t="n"/>
      <c r="B25" s="3" t="n"/>
      <c r="C25" s="3" t="n"/>
    </row>
    <row r="26">
      <c r="A26" s="3" t="n"/>
      <c r="B26" s="3" t="n"/>
      <c r="C26" s="3" t="n"/>
    </row>
    <row r="27">
      <c r="A27" s="3" t="n"/>
      <c r="B27" s="3" t="n"/>
      <c r="C27" s="3" t="n"/>
    </row>
    <row r="28">
      <c r="A28" s="3" t="n"/>
      <c r="B28" s="3" t="n"/>
      <c r="C28" s="3" t="n"/>
    </row>
    <row r="29">
      <c r="A29" s="3" t="n"/>
      <c r="B29" s="3" t="n"/>
      <c r="C29" s="3" t="n"/>
    </row>
    <row r="30">
      <c r="A30" s="3" t="n"/>
      <c r="B30" s="3" t="n"/>
      <c r="C30" s="3" t="n"/>
    </row>
    <row r="31">
      <c r="A31" s="3" t="n"/>
      <c r="B31" s="3" t="n"/>
      <c r="C31" s="3" t="n"/>
    </row>
    <row r="32">
      <c r="A32" s="3" t="n"/>
      <c r="B32" s="3" t="n"/>
      <c r="C32" s="3" t="n"/>
    </row>
    <row r="33">
      <c r="A33" s="3" t="n"/>
      <c r="B33" s="3" t="n"/>
      <c r="C33" s="3" t="n"/>
    </row>
    <row r="34">
      <c r="A34" s="3" t="n"/>
      <c r="B34" s="3" t="n"/>
      <c r="C34" s="3" t="n"/>
    </row>
    <row r="35">
      <c r="A35" s="3" t="n"/>
      <c r="B35" s="3" t="n"/>
      <c r="C35" s="3" t="n"/>
    </row>
    <row r="36">
      <c r="A36" s="3" t="n"/>
      <c r="B36" s="3" t="n"/>
      <c r="C36" s="3" t="n"/>
    </row>
    <row r="37">
      <c r="A37" s="3" t="n"/>
      <c r="B37" s="3" t="n"/>
      <c r="C37" s="3" t="n"/>
    </row>
    <row r="38">
      <c r="A38" s="3" t="n"/>
      <c r="B38" s="3" t="n"/>
      <c r="C38" s="3" t="n"/>
    </row>
    <row r="39">
      <c r="A39" s="3" t="n"/>
      <c r="B39" s="3" t="n"/>
      <c r="C39" s="3" t="n"/>
    </row>
    <row r="40">
      <c r="A40" s="3" t="n"/>
      <c r="B40" s="3" t="n"/>
      <c r="C40" s="3" t="n"/>
    </row>
    <row r="41">
      <c r="A41" s="3" t="n"/>
      <c r="B41" s="3" t="n"/>
      <c r="C41" s="3" t="n"/>
    </row>
    <row r="42">
      <c r="A42" s="3" t="n"/>
      <c r="B42" s="3" t="n"/>
      <c r="C42" s="3" t="n"/>
    </row>
    <row r="43">
      <c r="A43" s="3" t="n"/>
      <c r="B43" s="3" t="n"/>
      <c r="C43" s="3" t="n"/>
    </row>
    <row r="44">
      <c r="A44" s="3" t="n"/>
      <c r="B44" s="3" t="n"/>
      <c r="C44" s="3" t="n"/>
    </row>
    <row r="45">
      <c r="A45" s="3" t="n"/>
      <c r="B45" s="3" t="n"/>
      <c r="C45" s="3" t="n"/>
    </row>
    <row r="46">
      <c r="A46" s="3" t="n"/>
      <c r="B46" s="3" t="n"/>
      <c r="C46" s="3" t="n"/>
    </row>
    <row r="47">
      <c r="A47" s="3" t="n"/>
      <c r="B47" s="3" t="n"/>
      <c r="C47" s="3" t="n"/>
    </row>
    <row r="48">
      <c r="A48" s="3" t="n"/>
      <c r="B48" s="3" t="n"/>
      <c r="C48" s="3" t="n"/>
    </row>
    <row r="49">
      <c r="A49" s="3" t="n"/>
      <c r="B49" s="3" t="n"/>
      <c r="C49" s="3" t="n"/>
    </row>
    <row r="50">
      <c r="A50" s="3" t="n"/>
      <c r="B50" s="3" t="n"/>
      <c r="C50" s="3" t="n"/>
    </row>
    <row r="51">
      <c r="A51" s="3" t="n"/>
      <c r="B51" s="3" t="n"/>
      <c r="C51" s="3" t="n"/>
    </row>
    <row r="52">
      <c r="A52" s="3" t="n"/>
      <c r="B52" s="3" t="n"/>
      <c r="C52" s="3" t="n"/>
    </row>
    <row r="53">
      <c r="A53" s="3" t="n"/>
      <c r="B53" s="3" t="n"/>
      <c r="C53" s="3" t="n"/>
    </row>
    <row r="54">
      <c r="A54" s="3" t="n"/>
      <c r="B54" s="3" t="n"/>
      <c r="C54" s="3" t="n"/>
    </row>
    <row r="55">
      <c r="A55" s="3" t="n"/>
      <c r="B55" s="3" t="n"/>
      <c r="C55" s="3" t="n"/>
    </row>
    <row r="56">
      <c r="A56" s="3" t="n"/>
      <c r="B56" s="3" t="n"/>
      <c r="C56" s="3" t="n"/>
    </row>
    <row r="57">
      <c r="A57" s="3" t="n"/>
      <c r="B57" s="3" t="n"/>
      <c r="C57" s="3" t="n"/>
    </row>
    <row r="58">
      <c r="A58" s="3" t="n"/>
      <c r="B58" s="3" t="n"/>
      <c r="C58" s="3" t="n"/>
    </row>
    <row r="59">
      <c r="A59" s="3" t="n"/>
      <c r="B59" s="3" t="n"/>
      <c r="C59" s="3" t="n"/>
    </row>
    <row r="60">
      <c r="A60" s="3" t="n"/>
      <c r="B60" s="3" t="n"/>
      <c r="C60" s="3" t="n"/>
    </row>
    <row r="61">
      <c r="A61" s="3" t="n"/>
      <c r="B61" s="3" t="n"/>
      <c r="C61" s="3" t="n"/>
    </row>
    <row r="62">
      <c r="A62" s="3" t="n"/>
      <c r="B62" s="3" t="n"/>
      <c r="C62" s="3" t="n"/>
    </row>
    <row r="63">
      <c r="A63" s="3" t="n"/>
      <c r="B63" s="3" t="n"/>
      <c r="C63" s="3" t="n"/>
    </row>
    <row r="64">
      <c r="A64" s="3" t="n"/>
      <c r="B64" s="3" t="n"/>
      <c r="C64" s="3" t="n"/>
    </row>
    <row r="65">
      <c r="A65" s="3" t="n"/>
      <c r="B65" s="3" t="n"/>
      <c r="C65" s="3" t="n"/>
    </row>
    <row r="66">
      <c r="A66" s="3" t="n"/>
      <c r="B66" s="3" t="n"/>
      <c r="C66" s="3" t="n"/>
    </row>
    <row r="67">
      <c r="A67" s="3" t="n"/>
      <c r="B67" s="3" t="n"/>
      <c r="C67" s="3" t="n"/>
    </row>
    <row r="68">
      <c r="A68" s="3" t="n"/>
      <c r="B68" s="3" t="n"/>
      <c r="C68" s="3" t="n"/>
    </row>
    <row r="69">
      <c r="A69" s="3" t="n"/>
      <c r="B69" s="3" t="n"/>
      <c r="C69" s="3" t="n"/>
    </row>
    <row r="70">
      <c r="A70" s="3" t="n"/>
      <c r="B70" s="3" t="n"/>
      <c r="C70" s="3" t="n"/>
    </row>
    <row r="71">
      <c r="A71" s="3" t="n"/>
      <c r="B71" s="3" t="n"/>
      <c r="C71" s="3" t="n"/>
    </row>
    <row r="72">
      <c r="A72" s="3" t="n"/>
      <c r="B72" s="3" t="n"/>
      <c r="C72" s="3" t="n"/>
    </row>
    <row r="73">
      <c r="A73" s="3" t="n"/>
      <c r="B73" s="3" t="n"/>
      <c r="C73" s="3" t="n"/>
    </row>
    <row r="74">
      <c r="A74" s="3" t="n"/>
      <c r="B74" s="3" t="n"/>
      <c r="C74" s="3" t="n"/>
    </row>
    <row r="75">
      <c r="A75" s="3" t="n"/>
      <c r="B75" s="3" t="n"/>
      <c r="C75" s="3" t="n"/>
    </row>
    <row r="76">
      <c r="A76" s="3" t="n"/>
      <c r="B76" s="3" t="n"/>
      <c r="C76" s="3" t="n"/>
    </row>
    <row r="77">
      <c r="A77" s="3" t="n"/>
      <c r="B77" s="3" t="n"/>
      <c r="C77" s="3" t="n"/>
    </row>
    <row r="78">
      <c r="A78" s="3" t="n"/>
      <c r="B78" s="3" t="n"/>
      <c r="C78" s="3" t="n"/>
    </row>
    <row r="79">
      <c r="A79" s="3" t="n"/>
      <c r="B79" s="3" t="n"/>
      <c r="C79" s="3" t="n"/>
    </row>
    <row r="80">
      <c r="A80" s="3" t="n"/>
      <c r="B80" s="3" t="n"/>
      <c r="C80" s="3" t="n"/>
    </row>
    <row r="81">
      <c r="A81" s="3" t="n"/>
      <c r="B81" s="3" t="n"/>
      <c r="C81" s="3" t="n"/>
    </row>
    <row r="82">
      <c r="A82" s="3" t="n"/>
      <c r="B82" s="3" t="n"/>
      <c r="C82" s="3" t="n"/>
    </row>
    <row r="83">
      <c r="A83" s="3" t="n"/>
      <c r="B83" s="3" t="n"/>
      <c r="C83" s="3" t="n"/>
    </row>
    <row r="84">
      <c r="A84" s="3" t="n"/>
      <c r="B84" s="3" t="n"/>
      <c r="C84" s="3" t="n"/>
    </row>
    <row r="85">
      <c r="A85" s="3" t="n"/>
      <c r="B85" s="3" t="n"/>
      <c r="C85" s="3" t="n"/>
    </row>
    <row r="86">
      <c r="A86" s="3" t="n"/>
      <c r="B86" s="3" t="n"/>
      <c r="C86" s="3" t="n"/>
    </row>
    <row r="87">
      <c r="A87" s="3" t="n"/>
      <c r="B87" s="3" t="n"/>
      <c r="C87" s="3" t="n"/>
    </row>
    <row r="88">
      <c r="A88" s="3" t="n"/>
      <c r="B88" s="3" t="n"/>
      <c r="C88" s="3" t="n"/>
    </row>
    <row r="89">
      <c r="A89" s="3" t="n"/>
      <c r="B89" s="3" t="n"/>
      <c r="C89" s="3" t="n"/>
    </row>
    <row r="90">
      <c r="A90" s="3" t="n"/>
      <c r="B90" s="3" t="n"/>
      <c r="C90" s="3" t="n"/>
    </row>
    <row r="91">
      <c r="A91" s="3" t="n"/>
      <c r="B91" s="3" t="n"/>
      <c r="C91" s="3" t="n"/>
    </row>
    <row r="92">
      <c r="A92" s="3" t="n"/>
      <c r="B92" s="3" t="n"/>
      <c r="C92" s="3" t="n"/>
    </row>
    <row r="93">
      <c r="A93" s="3" t="n"/>
      <c r="B93" s="3" t="n"/>
      <c r="C93" s="3" t="n"/>
    </row>
    <row r="94">
      <c r="A94" s="3" t="n"/>
      <c r="B94" s="3" t="n"/>
      <c r="C94" s="3" t="n"/>
    </row>
    <row r="95">
      <c r="A95" s="3" t="n"/>
      <c r="B95" s="3" t="n"/>
      <c r="C95" s="3" t="n"/>
    </row>
    <row r="96">
      <c r="A96" s="3" t="n"/>
      <c r="B96" s="3" t="n"/>
      <c r="C96" s="3" t="n"/>
    </row>
    <row r="97">
      <c r="A97" s="3" t="n"/>
      <c r="B97" s="3" t="n"/>
      <c r="C97" s="3" t="n"/>
    </row>
    <row r="98">
      <c r="A98" s="3" t="n"/>
      <c r="B98" s="3" t="n"/>
      <c r="C98" s="3" t="n"/>
    </row>
    <row r="99">
      <c r="A99" s="3" t="n"/>
      <c r="B99" s="3" t="n"/>
      <c r="C99" s="3" t="n"/>
    </row>
    <row r="100">
      <c r="A100" s="3" t="n"/>
      <c r="B100" s="3" t="n"/>
      <c r="C100" s="3" t="n"/>
    </row>
    <row r="101">
      <c r="A101" s="3" t="n"/>
      <c r="B101" s="3" t="n"/>
      <c r="C101" s="3" t="n"/>
    </row>
    <row r="102">
      <c r="A102" s="3" t="n"/>
      <c r="B102" s="3" t="n"/>
      <c r="C102" s="3" t="n"/>
    </row>
    <row r="103">
      <c r="A103" s="3" t="n"/>
      <c r="B103" s="3" t="n"/>
      <c r="C103" s="3" t="n"/>
    </row>
    <row r="104">
      <c r="A104" s="3" t="n"/>
      <c r="B104" s="3" t="n"/>
      <c r="C104" s="3" t="n"/>
    </row>
    <row r="105">
      <c r="A105" s="3" t="n"/>
      <c r="B105" s="3" t="n"/>
      <c r="C105" s="3" t="n"/>
    </row>
    <row r="106">
      <c r="A106" s="3" t="n"/>
      <c r="B106" s="3" t="n"/>
      <c r="C106" s="3" t="n"/>
    </row>
    <row r="107">
      <c r="A107" s="3" t="n"/>
      <c r="B107" s="3" t="n"/>
      <c r="C107" s="3" t="n"/>
    </row>
    <row r="108">
      <c r="A108" s="3" t="n"/>
      <c r="B108" s="3" t="n"/>
      <c r="C108" s="3" t="n"/>
    </row>
    <row r="109">
      <c r="A109" s="3" t="n"/>
      <c r="B109" s="3" t="n"/>
      <c r="C109" s="3" t="n"/>
    </row>
    <row r="110">
      <c r="A110" s="3" t="n"/>
      <c r="B110" s="3" t="n"/>
      <c r="C110" s="3" t="n"/>
    </row>
    <row r="111">
      <c r="A111" s="3" t="n"/>
      <c r="B111" s="3" t="n"/>
      <c r="C111" s="3" t="n"/>
    </row>
    <row r="112">
      <c r="A112" s="3" t="n"/>
      <c r="B112" s="3" t="n"/>
      <c r="C112" s="3" t="n"/>
    </row>
    <row r="113">
      <c r="A113" s="3" t="n"/>
      <c r="B113" s="3" t="n"/>
      <c r="C113" s="3" t="n"/>
    </row>
    <row r="114">
      <c r="A114" s="3" t="n"/>
      <c r="B114" s="3" t="n"/>
      <c r="C114" s="3" t="n"/>
    </row>
    <row r="115">
      <c r="A115" s="3" t="n"/>
      <c r="B115" s="3" t="n"/>
      <c r="C115" s="3" t="n"/>
    </row>
    <row r="116">
      <c r="A116" s="3" t="n"/>
      <c r="B116" s="3" t="n"/>
      <c r="C116" s="3" t="n"/>
    </row>
    <row r="117">
      <c r="A117" s="3" t="n"/>
      <c r="B117" s="3" t="n"/>
      <c r="C117" s="3" t="n"/>
    </row>
    <row r="118">
      <c r="A118" s="3" t="n"/>
      <c r="B118" s="3" t="n"/>
      <c r="C118" s="3" t="n"/>
    </row>
    <row r="119">
      <c r="A119" s="3" t="n"/>
      <c r="B119" s="3" t="n"/>
      <c r="C119" s="3" t="n"/>
    </row>
    <row r="120">
      <c r="A120" s="3" t="n"/>
      <c r="B120" s="3" t="n"/>
      <c r="C120" s="3" t="n"/>
    </row>
    <row r="121">
      <c r="A121" s="3" t="n"/>
      <c r="B121" s="3" t="n"/>
      <c r="C121" s="3" t="n"/>
    </row>
    <row r="122">
      <c r="A122" s="3" t="n"/>
      <c r="B122" s="3" t="n"/>
      <c r="C122" s="3" t="n"/>
    </row>
    <row r="123">
      <c r="A123" s="3" t="n"/>
      <c r="B123" s="3" t="n"/>
      <c r="C123" s="3" t="n"/>
    </row>
    <row r="124">
      <c r="A124" s="3" t="n"/>
      <c r="B124" s="3" t="n"/>
      <c r="C124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Hoja5">
    <tabColor rgb="FF7030A0"/>
    <outlinePr summaryBelow="1" summaryRight="1"/>
    <pageSetUpPr/>
  </sheetPr>
  <dimension ref="A1:C124"/>
  <sheetViews>
    <sheetView workbookViewId="0">
      <selection activeCell="A6" sqref="A6"/>
    </sheetView>
  </sheetViews>
  <sheetFormatPr baseColWidth="10" defaultColWidth="9.1796875" defaultRowHeight="12.5"/>
  <cols>
    <col width="4" bestFit="1" customWidth="1" min="1" max="1"/>
    <col width="30.26953125" bestFit="1" customWidth="1" min="2" max="2"/>
  </cols>
  <sheetData>
    <row r="1"/>
    <row r="2" ht="13" customHeight="1">
      <c r="A2" s="13" t="inlineStr">
        <is>
          <t>cod</t>
        </is>
      </c>
      <c r="B2" s="13" t="inlineStr">
        <is>
          <t>Nombre</t>
        </is>
      </c>
      <c r="C2" s="3" t="n"/>
    </row>
    <row r="3">
      <c r="A3" s="14" t="inlineStr">
        <is>
          <t>01</t>
        </is>
      </c>
      <c r="B3" s="2" t="inlineStr">
        <is>
          <t>LA ALEGRIA</t>
        </is>
      </c>
      <c r="C3" s="3" t="n"/>
    </row>
    <row r="4">
      <c r="A4" s="14" t="inlineStr">
        <is>
          <t>03</t>
        </is>
      </c>
      <c r="B4" s="2" t="inlineStr">
        <is>
          <t>MARIA LAURA</t>
        </is>
      </c>
      <c r="C4" s="3" t="n"/>
    </row>
    <row r="5">
      <c r="A5" s="14" t="inlineStr">
        <is>
          <t>04</t>
        </is>
      </c>
      <c r="B5" s="2" t="inlineStr">
        <is>
          <t>EL REFUGIO</t>
        </is>
      </c>
      <c r="C5" s="3" t="n"/>
    </row>
    <row r="6">
      <c r="A6" s="14" t="inlineStr">
        <is>
          <t>06</t>
        </is>
      </c>
      <c r="B6" s="2" t="inlineStr">
        <is>
          <t>DON GASPAR</t>
        </is>
      </c>
      <c r="C6" s="3" t="n"/>
    </row>
    <row r="7">
      <c r="A7" s="14" t="inlineStr">
        <is>
          <t>07</t>
        </is>
      </c>
      <c r="B7" s="2" t="inlineStr">
        <is>
          <t>PALMAWA</t>
        </is>
      </c>
      <c r="C7" s="3" t="n"/>
    </row>
    <row r="8">
      <c r="A8" s="14" t="inlineStr">
        <is>
          <t>20</t>
        </is>
      </c>
      <c r="B8" s="2" t="inlineStr">
        <is>
          <t>MAROMA</t>
        </is>
      </c>
      <c r="C8" s="3" t="n"/>
    </row>
    <row r="9">
      <c r="A9" s="14" t="n"/>
      <c r="B9" s="2" t="n"/>
      <c r="C9" s="3" t="n"/>
    </row>
    <row r="10">
      <c r="A10" s="14" t="n"/>
      <c r="B10" s="2" t="n"/>
      <c r="C10" s="3" t="n"/>
    </row>
    <row r="11">
      <c r="A11" s="14" t="n"/>
      <c r="B11" s="2" t="n"/>
      <c r="C11" s="3" t="n"/>
    </row>
    <row r="12">
      <c r="A12" s="14" t="n"/>
      <c r="B12" s="2" t="n"/>
      <c r="C12" s="3" t="n"/>
    </row>
    <row r="13">
      <c r="A13" s="14" t="n"/>
      <c r="B13" s="2" t="n"/>
      <c r="C13" s="3" t="n"/>
    </row>
    <row r="14">
      <c r="A14" s="14" t="n"/>
      <c r="B14" s="2" t="n"/>
      <c r="C14" s="3" t="n"/>
    </row>
    <row r="15">
      <c r="A15" s="14" t="n"/>
      <c r="B15" s="2" t="n"/>
      <c r="C15" s="3" t="n"/>
    </row>
    <row r="16">
      <c r="A16" s="14" t="n"/>
      <c r="B16" s="2" t="n"/>
      <c r="C16" s="3" t="n"/>
    </row>
    <row r="17">
      <c r="A17" s="14" t="n"/>
      <c r="B17" s="2" t="n"/>
      <c r="C17" s="3" t="n"/>
    </row>
    <row r="18">
      <c r="A18" s="14" t="n"/>
      <c r="B18" s="2" t="n"/>
      <c r="C18" s="3" t="n"/>
    </row>
    <row r="19">
      <c r="A19" s="14" t="n"/>
      <c r="B19" s="2" t="n"/>
      <c r="C19" s="3" t="n"/>
    </row>
    <row r="20">
      <c r="A20" s="14" t="n"/>
      <c r="B20" s="2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  <row r="24">
      <c r="A24" s="3" t="n"/>
      <c r="B24" s="3" t="n"/>
      <c r="C24" s="3" t="n"/>
    </row>
    <row r="25">
      <c r="A25" s="3" t="n"/>
      <c r="B25" s="3" t="n"/>
      <c r="C25" s="3" t="n"/>
    </row>
    <row r="26">
      <c r="A26" s="3" t="n"/>
      <c r="B26" s="3" t="n"/>
      <c r="C26" s="3" t="n"/>
    </row>
    <row r="27">
      <c r="A27" s="3" t="n"/>
      <c r="B27" s="3" t="n"/>
      <c r="C27" s="3" t="n"/>
    </row>
    <row r="28">
      <c r="A28" s="3" t="n"/>
      <c r="B28" s="3" t="n"/>
      <c r="C28" s="3" t="n"/>
    </row>
    <row r="29">
      <c r="A29" s="3" t="n"/>
      <c r="B29" s="3" t="n"/>
      <c r="C29" s="3" t="n"/>
    </row>
    <row r="30">
      <c r="A30" s="3" t="n"/>
      <c r="B30" s="3" t="n"/>
      <c r="C30" s="3" t="n"/>
    </row>
    <row r="31">
      <c r="A31" s="3" t="n"/>
      <c r="B31" s="3" t="n"/>
      <c r="C31" s="3" t="n"/>
    </row>
    <row r="32">
      <c r="A32" s="3" t="n"/>
      <c r="B32" s="3" t="n"/>
      <c r="C32" s="3" t="n"/>
    </row>
    <row r="33">
      <c r="A33" s="3" t="n"/>
      <c r="B33" s="3" t="n"/>
      <c r="C33" s="3" t="n"/>
    </row>
    <row r="34">
      <c r="A34" s="3" t="n"/>
      <c r="B34" s="3" t="n"/>
      <c r="C34" s="3" t="n"/>
    </row>
    <row r="35">
      <c r="A35" s="3" t="n"/>
      <c r="B35" s="3" t="n"/>
      <c r="C35" s="3" t="n"/>
    </row>
    <row r="36">
      <c r="A36" s="3" t="n"/>
      <c r="B36" s="3" t="n"/>
      <c r="C36" s="3" t="n"/>
    </row>
    <row r="37">
      <c r="A37" s="3" t="n"/>
      <c r="B37" s="3" t="n"/>
      <c r="C37" s="3" t="n"/>
    </row>
    <row r="38">
      <c r="A38" s="3" t="n"/>
      <c r="B38" s="3" t="n"/>
      <c r="C38" s="3" t="n"/>
    </row>
    <row r="39">
      <c r="A39" s="3" t="n"/>
      <c r="B39" s="3" t="n"/>
      <c r="C39" s="3" t="n"/>
    </row>
    <row r="40">
      <c r="A40" s="3" t="n"/>
      <c r="B40" s="3" t="n"/>
      <c r="C40" s="3" t="n"/>
    </row>
    <row r="41">
      <c r="A41" s="3" t="n"/>
      <c r="B41" s="3" t="n"/>
      <c r="C41" s="3" t="n"/>
    </row>
    <row r="42">
      <c r="A42" s="3" t="n"/>
      <c r="B42" s="3" t="n"/>
      <c r="C42" s="3" t="n"/>
    </row>
    <row r="43">
      <c r="A43" s="3" t="n"/>
      <c r="B43" s="3" t="n"/>
      <c r="C43" s="3" t="n"/>
    </row>
    <row r="44">
      <c r="A44" s="3" t="n"/>
      <c r="B44" s="3" t="n"/>
      <c r="C44" s="3" t="n"/>
    </row>
    <row r="45">
      <c r="A45" s="3" t="n"/>
      <c r="B45" s="3" t="n"/>
      <c r="C45" s="3" t="n"/>
    </row>
    <row r="46">
      <c r="A46" s="3" t="n"/>
      <c r="B46" s="3" t="n"/>
      <c r="C46" s="3" t="n"/>
    </row>
    <row r="47">
      <c r="A47" s="3" t="n"/>
      <c r="B47" s="3" t="n"/>
      <c r="C47" s="3" t="n"/>
    </row>
    <row r="48">
      <c r="A48" s="3" t="n"/>
      <c r="B48" s="3" t="n"/>
      <c r="C48" s="3" t="n"/>
    </row>
    <row r="49">
      <c r="A49" s="3" t="n"/>
      <c r="B49" s="3" t="n"/>
      <c r="C49" s="3" t="n"/>
    </row>
    <row r="50">
      <c r="A50" s="3" t="n"/>
      <c r="B50" s="3" t="n"/>
      <c r="C50" s="3" t="n"/>
    </row>
    <row r="51">
      <c r="A51" s="3" t="n"/>
      <c r="B51" s="3" t="n"/>
      <c r="C51" s="3" t="n"/>
    </row>
    <row r="52">
      <c r="A52" s="3" t="n"/>
      <c r="B52" s="3" t="n"/>
      <c r="C52" s="3" t="n"/>
    </row>
    <row r="53">
      <c r="A53" s="3" t="n"/>
      <c r="B53" s="3" t="n"/>
      <c r="C53" s="3" t="n"/>
    </row>
    <row r="54">
      <c r="A54" s="3" t="n"/>
      <c r="B54" s="3" t="n"/>
      <c r="C54" s="3" t="n"/>
    </row>
    <row r="55">
      <c r="A55" s="3" t="n"/>
      <c r="B55" s="3" t="n"/>
      <c r="C55" s="3" t="n"/>
    </row>
    <row r="56">
      <c r="A56" s="3" t="n"/>
      <c r="B56" s="3" t="n"/>
      <c r="C56" s="3" t="n"/>
    </row>
    <row r="57">
      <c r="A57" s="3" t="n"/>
      <c r="B57" s="3" t="n"/>
      <c r="C57" s="3" t="n"/>
    </row>
    <row r="58">
      <c r="A58" s="3" t="n"/>
      <c r="B58" s="3" t="n"/>
      <c r="C58" s="3" t="n"/>
    </row>
    <row r="59">
      <c r="A59" s="3" t="n"/>
      <c r="B59" s="3" t="n"/>
      <c r="C59" s="3" t="n"/>
    </row>
    <row r="60">
      <c r="A60" s="3" t="n"/>
      <c r="B60" s="3" t="n"/>
      <c r="C60" s="3" t="n"/>
    </row>
    <row r="61">
      <c r="A61" s="3" t="n"/>
      <c r="B61" s="3" t="n"/>
      <c r="C61" s="3" t="n"/>
    </row>
    <row r="62">
      <c r="A62" s="3" t="n"/>
      <c r="B62" s="3" t="n"/>
      <c r="C62" s="3" t="n"/>
    </row>
    <row r="63">
      <c r="A63" s="3" t="n"/>
      <c r="B63" s="3" t="n"/>
      <c r="C63" s="3" t="n"/>
    </row>
    <row r="64">
      <c r="A64" s="3" t="n"/>
      <c r="B64" s="3" t="n"/>
      <c r="C64" s="3" t="n"/>
    </row>
    <row r="65">
      <c r="A65" s="3" t="n"/>
      <c r="B65" s="3" t="n"/>
      <c r="C65" s="3" t="n"/>
    </row>
    <row r="66">
      <c r="A66" s="3" t="n"/>
      <c r="B66" s="3" t="n"/>
      <c r="C66" s="3" t="n"/>
    </row>
    <row r="67">
      <c r="A67" s="3" t="n"/>
      <c r="B67" s="3" t="n"/>
      <c r="C67" s="3" t="n"/>
    </row>
    <row r="68">
      <c r="A68" s="3" t="n"/>
      <c r="B68" s="3" t="n"/>
      <c r="C68" s="3" t="n"/>
    </row>
    <row r="69">
      <c r="A69" s="3" t="n"/>
      <c r="B69" s="3" t="n"/>
      <c r="C69" s="3" t="n"/>
    </row>
    <row r="70">
      <c r="A70" s="3" t="n"/>
      <c r="B70" s="3" t="n"/>
      <c r="C70" s="3" t="n"/>
    </row>
    <row r="71">
      <c r="A71" s="3" t="n"/>
      <c r="B71" s="3" t="n"/>
      <c r="C71" s="3" t="n"/>
    </row>
    <row r="72">
      <c r="A72" s="3" t="n"/>
      <c r="B72" s="3" t="n"/>
      <c r="C72" s="3" t="n"/>
    </row>
    <row r="73">
      <c r="A73" s="3" t="n"/>
      <c r="B73" s="3" t="n"/>
      <c r="C73" s="3" t="n"/>
    </row>
    <row r="74">
      <c r="A74" s="3" t="n"/>
      <c r="B74" s="3" t="n"/>
      <c r="C74" s="3" t="n"/>
    </row>
    <row r="75">
      <c r="A75" s="3" t="n"/>
      <c r="B75" s="3" t="n"/>
      <c r="C75" s="3" t="n"/>
    </row>
    <row r="76">
      <c r="A76" s="3" t="n"/>
      <c r="B76" s="3" t="n"/>
      <c r="C76" s="3" t="n"/>
    </row>
    <row r="77">
      <c r="A77" s="3" t="n"/>
      <c r="B77" s="3" t="n"/>
      <c r="C77" s="3" t="n"/>
    </row>
    <row r="78">
      <c r="A78" s="3" t="n"/>
      <c r="B78" s="3" t="n"/>
      <c r="C78" s="3" t="n"/>
    </row>
    <row r="79">
      <c r="A79" s="3" t="n"/>
      <c r="B79" s="3" t="n"/>
      <c r="C79" s="3" t="n"/>
    </row>
    <row r="80">
      <c r="A80" s="3" t="n"/>
      <c r="B80" s="3" t="n"/>
      <c r="C80" s="3" t="n"/>
    </row>
    <row r="81">
      <c r="A81" s="3" t="n"/>
      <c r="B81" s="3" t="n"/>
      <c r="C81" s="3" t="n"/>
    </row>
    <row r="82">
      <c r="A82" s="3" t="n"/>
      <c r="B82" s="3" t="n"/>
      <c r="C82" s="3" t="n"/>
    </row>
    <row r="83">
      <c r="A83" s="3" t="n"/>
      <c r="B83" s="3" t="n"/>
      <c r="C83" s="3" t="n"/>
    </row>
    <row r="84">
      <c r="A84" s="3" t="n"/>
      <c r="B84" s="3" t="n"/>
      <c r="C84" s="3" t="n"/>
    </row>
    <row r="85">
      <c r="A85" s="3" t="n"/>
      <c r="B85" s="3" t="n"/>
      <c r="C85" s="3" t="n"/>
    </row>
    <row r="86">
      <c r="A86" s="3" t="n"/>
      <c r="B86" s="3" t="n"/>
      <c r="C86" s="3" t="n"/>
    </row>
    <row r="87">
      <c r="A87" s="3" t="n"/>
      <c r="B87" s="3" t="n"/>
      <c r="C87" s="3" t="n"/>
    </row>
    <row r="88">
      <c r="A88" s="3" t="n"/>
      <c r="B88" s="3" t="n"/>
      <c r="C88" s="3" t="n"/>
    </row>
    <row r="89">
      <c r="A89" s="3" t="n"/>
      <c r="B89" s="3" t="n"/>
      <c r="C89" s="3" t="n"/>
    </row>
    <row r="90">
      <c r="A90" s="3" t="n"/>
      <c r="B90" s="3" t="n"/>
      <c r="C90" s="3" t="n"/>
    </row>
    <row r="91">
      <c r="A91" s="3" t="n"/>
      <c r="B91" s="3" t="n"/>
      <c r="C91" s="3" t="n"/>
    </row>
    <row r="92">
      <c r="A92" s="3" t="n"/>
      <c r="B92" s="3" t="n"/>
      <c r="C92" s="3" t="n"/>
    </row>
    <row r="93">
      <c r="A93" s="3" t="n"/>
      <c r="B93" s="3" t="n"/>
      <c r="C93" s="3" t="n"/>
    </row>
    <row r="94">
      <c r="A94" s="3" t="n"/>
      <c r="B94" s="3" t="n"/>
      <c r="C94" s="3" t="n"/>
    </row>
    <row r="95">
      <c r="A95" s="3" t="n"/>
      <c r="B95" s="3" t="n"/>
      <c r="C95" s="3" t="n"/>
    </row>
    <row r="96">
      <c r="A96" s="3" t="n"/>
      <c r="B96" s="3" t="n"/>
      <c r="C96" s="3" t="n"/>
    </row>
    <row r="97">
      <c r="A97" s="3" t="n"/>
      <c r="B97" s="3" t="n"/>
      <c r="C97" s="3" t="n"/>
    </row>
    <row r="98">
      <c r="A98" s="3" t="n"/>
      <c r="B98" s="3" t="n"/>
      <c r="C98" s="3" t="n"/>
    </row>
    <row r="99">
      <c r="A99" s="3" t="n"/>
      <c r="B99" s="3" t="n"/>
      <c r="C99" s="3" t="n"/>
    </row>
    <row r="100">
      <c r="A100" s="3" t="n"/>
      <c r="B100" s="3" t="n"/>
      <c r="C100" s="3" t="n"/>
    </row>
    <row r="101">
      <c r="A101" s="3" t="n"/>
      <c r="B101" s="3" t="n"/>
      <c r="C101" s="3" t="n"/>
    </row>
    <row r="102">
      <c r="A102" s="3" t="n"/>
      <c r="B102" s="3" t="n"/>
      <c r="C102" s="3" t="n"/>
    </row>
    <row r="103">
      <c r="A103" s="3" t="n"/>
      <c r="B103" s="3" t="n"/>
      <c r="C103" s="3" t="n"/>
    </row>
    <row r="104">
      <c r="A104" s="3" t="n"/>
      <c r="B104" s="3" t="n"/>
      <c r="C104" s="3" t="n"/>
    </row>
    <row r="105">
      <c r="A105" s="3" t="n"/>
      <c r="B105" s="3" t="n"/>
      <c r="C105" s="3" t="n"/>
    </row>
    <row r="106">
      <c r="A106" s="3" t="n"/>
      <c r="B106" s="3" t="n"/>
      <c r="C106" s="3" t="n"/>
    </row>
    <row r="107">
      <c r="A107" s="3" t="n"/>
      <c r="B107" s="3" t="n"/>
      <c r="C107" s="3" t="n"/>
    </row>
    <row r="108">
      <c r="A108" s="3" t="n"/>
      <c r="B108" s="3" t="n"/>
      <c r="C108" s="3" t="n"/>
    </row>
    <row r="109">
      <c r="A109" s="3" t="n"/>
      <c r="B109" s="3" t="n"/>
      <c r="C109" s="3" t="n"/>
    </row>
    <row r="110">
      <c r="A110" s="3" t="n"/>
      <c r="B110" s="3" t="n"/>
      <c r="C110" s="3" t="n"/>
    </row>
    <row r="111">
      <c r="A111" s="3" t="n"/>
      <c r="B111" s="3" t="n"/>
      <c r="C111" s="3" t="n"/>
    </row>
    <row r="112">
      <c r="A112" s="3" t="n"/>
      <c r="B112" s="3" t="n"/>
      <c r="C112" s="3" t="n"/>
    </row>
    <row r="113">
      <c r="A113" s="3" t="n"/>
      <c r="B113" s="3" t="n"/>
      <c r="C113" s="3" t="n"/>
    </row>
    <row r="114">
      <c r="A114" s="3" t="n"/>
      <c r="B114" s="3" t="n"/>
      <c r="C114" s="3" t="n"/>
    </row>
    <row r="115">
      <c r="A115" s="3" t="n"/>
      <c r="B115" s="3" t="n"/>
      <c r="C115" s="3" t="n"/>
    </row>
    <row r="116">
      <c r="A116" s="3" t="n"/>
      <c r="B116" s="3" t="n"/>
      <c r="C116" s="3" t="n"/>
    </row>
    <row r="117">
      <c r="A117" s="3" t="n"/>
      <c r="B117" s="3" t="n"/>
      <c r="C117" s="3" t="n"/>
    </row>
    <row r="118">
      <c r="A118" s="3" t="n"/>
      <c r="B118" s="3" t="n"/>
      <c r="C118" s="3" t="n"/>
    </row>
    <row r="119">
      <c r="A119" s="3" t="n"/>
      <c r="B119" s="3" t="n"/>
      <c r="C119" s="3" t="n"/>
    </row>
    <row r="120">
      <c r="A120" s="3" t="n"/>
      <c r="B120" s="3" t="n"/>
      <c r="C120" s="3" t="n"/>
    </row>
    <row r="121">
      <c r="A121" s="3" t="n"/>
      <c r="B121" s="3" t="n"/>
      <c r="C121" s="3" t="n"/>
    </row>
    <row r="122">
      <c r="A122" s="3" t="n"/>
      <c r="B122" s="3" t="n"/>
      <c r="C122" s="3" t="n"/>
    </row>
    <row r="123">
      <c r="A123" s="3" t="n"/>
      <c r="B123" s="3" t="n"/>
      <c r="C123" s="3" t="n"/>
    </row>
    <row r="124">
      <c r="A124" s="3" t="n"/>
      <c r="B124" s="3" t="n"/>
      <c r="C124" s="3" t="n"/>
    </row>
  </sheetData>
  <pageMargins left="0.75" right="0.75" top="1" bottom="1" header="0.5" footer="0.5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</dc:creator>
  <dcterms:created xsi:type="dcterms:W3CDTF">2006-06-15T18:10:28Z</dcterms:created>
  <dcterms:modified xsi:type="dcterms:W3CDTF">2026-10-02T13:20:46Z</dcterms:modified>
  <cp:lastModifiedBy>L</cp:lastModifiedBy>
  <cp:lastPrinted>2011-01-04T21:52:51Z</cp:lastPrinted>
</cp:coreProperties>
</file>